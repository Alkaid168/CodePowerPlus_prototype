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9b28d7f62347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四次对比" sheetId="1" r:id="R8b70511188ec44fd"/>
    <x:sheet xmlns:r="http://schemas.openxmlformats.org/officeDocument/2006/relationships" name="审核明细" sheetId="2" r:id="R05911b996aac40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6">
    <x:font>
      <x:sz val="11"/>
      <x:name val="Carlito"/>
    </x:font>
    <x:font>
      <x:sz val="11"/>
      <x:color rgb="FF242424"/>
      <x:name val="Arial"/>
    </x:font>
    <x:font>
      <x:b/>
      <x:sz val="16"/>
      <x:color rgb="FF242424"/>
      <x:name val="Arial"/>
    </x:font>
    <x:font>
      <x:sz val="10"/>
      <x:color rgb="FF666666"/>
      <x:name val="Arial"/>
    </x:font>
    <x:font>
      <x:b/>
      <x:sz val="11"/>
      <x:color rgb="FFFFFFFF"/>
      <x:name val="Arial"/>
    </x:font>
    <x:font>
      <x:u val="single"/>
      <x:sz val="11"/>
      <x:color rgb="FF45454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333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873E34"/>
      </x:font>
      <x:fill>
        <x:patternFill patternType="solid">
          <x:bgColor rgb="FFF5E8E6"/>
        </x:patternFill>
      </x:fill>
    </x:dxf>
    <x:dxf>
      <x:font>
        <x:b/>
        <x:color rgb="FF444444"/>
      </x:font>
      <x:fill>
        <x:patternFill patternType="solid">
          <x:bgColor rgb="FFF2F2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93a2b448524ebb" /><Relationship Type="http://schemas.openxmlformats.org/officeDocument/2006/relationships/theme" Target="/xl/theme/theme1.xml" Id="R53abbef750164364" /><Relationship Type="http://schemas.microsoft.com/office/2022/11/relationships/FeaturePropertyBag" Target="/xl/featurePropertyBag/featurePropertyBag.xml" Id="R3c5966c9dcbe46a9" /><Relationship Type="http://schemas.openxmlformats.org/officeDocument/2006/relationships/sharedStrings" Target="/xl/sharedStrings.xml" Id="Rfd1e3c513ead41f5" /><Relationship Type="http://schemas.openxmlformats.org/officeDocument/2006/relationships/worksheet" Target="/xl/worksheets/sheet1.xml" Id="R8b70511188ec44fd" /><Relationship Type="http://schemas.openxmlformats.org/officeDocument/2006/relationships/worksheet" Target="/xl/worksheets/sheet2.xml" Id="R05911b996aac40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Relationships xmlns="http://schemas.openxmlformats.org/package/2006/relationships"><Relationship Id="rIdOriginal12" Type="http://schemas.openxmlformats.org/officeDocument/2006/relationships/hyperlink" Target="https://www.luogu.com.cn/problem/P3368" TargetMode="External" /><Relationship Id="rIdOriginal13" Type="http://schemas.openxmlformats.org/officeDocument/2006/relationships/hyperlink" Target="https://codeforces.com/problemset/problem/363/B" TargetMode="External" /><Relationship Id="rIdOriginal14" Type="http://schemas.openxmlformats.org/officeDocument/2006/relationships/hyperlink" Target="https://www.luogu.com.cn/problem/P3390" TargetMode="External" /><Relationship Id="rIdOriginal15" Type="http://schemas.openxmlformats.org/officeDocument/2006/relationships/hyperlink" Target="https://www.luogu.com.cn/problem/P1141" TargetMode="External" /><Relationship Id="rIdOriginal16" Type="http://schemas.openxmlformats.org/officeDocument/2006/relationships/hyperlink" Target="https://www.luogu.com.cn/problem/P1352" TargetMode="External" /><Relationship Id="rIdOriginal17" Type="http://schemas.openxmlformats.org/officeDocument/2006/relationships/hyperlink" Target="https://codeforces.com/problemset/problem/706/B" TargetMode="External" /><Relationship Id="rIdOriginal18" Type="http://schemas.openxmlformats.org/officeDocument/2006/relationships/hyperlink" Target="https://www.luogu.com.cn/problem/P3808" TargetMode="External" /><Relationship Id="rIdOriginal19" Type="http://schemas.openxmlformats.org/officeDocument/2006/relationships/hyperlink" Target="https://www.luogu.com.cn/problem/P3386" TargetMode="External" /><Relationship Id="rIdOriginal20" Type="http://schemas.openxmlformats.org/officeDocument/2006/relationships/hyperlink" Target="https://www.luogu.com.cn/problem/P1880" TargetMode="External" /><Relationship Id="rIdOriginal21" Type="http://schemas.openxmlformats.org/officeDocument/2006/relationships/hyperlink" Target="https://codeforces.com/problemset/problem/520/B" TargetMode="External" /><Relationship Id="rIdOriginal22" Type="http://schemas.openxmlformats.org/officeDocument/2006/relationships/hyperlink" Target="https://www.luogu.com.cn/problem/P1044" TargetMode="External" /><Relationship Id="rIdOriginal23" Type="http://schemas.openxmlformats.org/officeDocument/2006/relationships/hyperlink" Target="https://codeforces.com/problemset/problem/474/B" TargetMode="External" /><Relationship Id="rIdOriginal24" Type="http://schemas.openxmlformats.org/officeDocument/2006/relationships/hyperlink" Target="https://www.luogu.com.cn/problem/P3370" TargetMode="External" /><Relationship Id="rIdOriginal25" Type="http://schemas.openxmlformats.org/officeDocument/2006/relationships/hyperlink" Target="https://codeforces.com/problemset/problem/279/B" TargetMode="External" /><Relationship Id="rIdOriginal26" Type="http://schemas.openxmlformats.org/officeDocument/2006/relationships/hyperlink" Target="https://www.luogu.com.cn/problem/P1803" TargetMode="External" /><Relationship Id="rIdOriginal27" Type="http://schemas.openxmlformats.org/officeDocument/2006/relationships/hyperlink" Target="https://www.luogu.com.cn/problem/P1440" TargetMode="External" /><Relationship Id="rIdOriginal28" Type="http://schemas.openxmlformats.org/officeDocument/2006/relationships/hyperlink" Target="https://codeforces.com/problemset/problem/25/D" TargetMode="External" /><Relationship Id="rIdOriginal29" Type="http://schemas.openxmlformats.org/officeDocument/2006/relationships/hyperlink" Target="https://www.luogu.com.cn/problem/P3372" TargetMode="External" /><Relationship Id="rIdOriginal30" Type="http://schemas.openxmlformats.org/officeDocument/2006/relationships/hyperlink" Target="https://www.luogu.com.cn/problem/P1226" TargetMode="External" /><Relationship Id="rIdOriginal31" Type="http://schemas.openxmlformats.org/officeDocument/2006/relationships/hyperlink" Target="https://www.luogu.com.cn/problem/P3383" TargetMode="External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tabColor rgb="FF333333"/>
  </x:sheetPr>
  <x:dimension ref="A1:I31"/>
  <x:sheetViews>
    <x:sheetView showGridLines="0" workbookViewId="0">
      <x:pane xSplit="2" ySplit="11" topLeftCell="C12" activePane="bottomRight" state="frozen"/>
    </x:sheetView>
  </x:sheetViews>
  <x:sheetFormatPr defaultRowHeight="15"/>
  <x:cols>
    <x:col min="1" max="1" width="12" hidden="0" customWidth="1"/>
    <x:col min="2" max="2" width="32" hidden="0" customWidth="1"/>
    <x:col min="3" max="3" width="63" hidden="0" customWidth="1"/>
    <x:col min="4" max="4" width="11" hidden="0" customWidth="1"/>
    <x:col min="5" max="5" width="11" hidden="0" customWidth="1"/>
    <x:col min="6" max="6" width="12" hidden="0" customWidth="1"/>
    <x:col min="7" max="7" width="12" hidden="0" customWidth="1"/>
    <x:col min="8" max="8" width="12" hidden="0" customWidth="1"/>
    <x:col min="9" max="9" width="3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3" t="str">
        <x:v>v8 二测：20题四次对比</x:v>
      </x:c>
      <x:c r="B2" s="2"/>
      <x:c r="C2" s="2"/>
      <x:c r="D2" s="2"/>
      <x:c r="E2" s="2"/>
      <x:c r="F2" s="2"/>
      <x:c r="G2" s="2"/>
      <x:c r="H2" s="2"/>
      <x:c r="I2" s="2"/>
    </x:row>
    <x:row r="3" ht="30" customHeight="1">
      <x:c r="A3" s="4" t="str">
        <x:v>人工分采用修订1（CF25D=1500）。次数仅统计标签与题解同时正确，与评分分差分别判断；代理复核不是教师金标准。</x:v>
      </x:c>
      <x:c r="B3" s="4"/>
      <x:c r="C3" s="4"/>
      <x:c r="D3" s="4"/>
      <x:c r="E3" s="4"/>
      <x:c r="F3" s="4"/>
      <x:c r="G3" s="4"/>
      <x:c r="H3" s="4"/>
      <x:c r="I3" s="4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44" customHeight="1">
      <x:c r="A5" s="8" t="str">
        <x:v>评分误差分组</x:v>
      </x:c>
      <x:c r="B5" s="8" t="str">
        <x:v>题数</x:v>
      </x:c>
      <x:c r="C5" s="8" t="str">
        <x:v>首测 MAE</x:v>
      </x:c>
      <x:c r="D5" s="8" t="str">
        <x:v>二测1 MAE</x:v>
      </x:c>
      <x:c r="E5" s="8" t="str">
        <x:v>二测2 MAE</x:v>
      </x:c>
      <x:c r="F5" s="8" t="str">
        <x:v>二测3 MAE</x:v>
      </x:c>
      <x:c r="G5" s="8" t="str">
        <x:v>二测合并 MAE</x:v>
      </x:c>
      <x:c r="H5" s="8" t="str">
        <x:v>联合正确次数合计</x:v>
      </x:c>
      <x:c r="I5" s="8" t="str">
        <x:v>四次复核样本量</x:v>
      </x:c>
    </x:row>
    <x:row r="6" ht="30" customHeight="1">
      <x:c r="A6" s="2" t="str">
        <x:v>全部20题</x:v>
      </x:c>
      <x:c r="B6" s="2" t="n">
        <x:v>20</x:v>
      </x:c>
      <x:c r="C6" s="9" t="n">
        <x:f>AVERAGEIFS('审核明细'!$K$5:$K$84,'审核明细'!$D$5:$D$84,"首测")</x:f>
        <x:v>170</x:v>
      </x:c>
      <x:c r="D6" s="9" t="n">
        <x:f>AVERAGEIFS('审核明细'!$K$5:$K$84,'审核明细'!$D$5:$D$84,"二测第1次")</x:f>
        <x:v>155</x:v>
      </x:c>
      <x:c r="E6" s="9" t="n">
        <x:f>AVERAGEIFS('审核明细'!$K$5:$K$84,'审核明细'!$D$5:$D$84,"二测第2次")</x:f>
        <x:v>140</x:v>
      </x:c>
      <x:c r="F6" s="9" t="n">
        <x:f>AVERAGEIFS('审核明细'!$K$5:$K$84,'审核明细'!$D$5:$D$84,"二测第3次")</x:f>
        <x:v>170</x:v>
      </x:c>
      <x:c r="G6" s="9" t="n">
        <x:f>AVERAGEIFS('审核明细'!$K$5:$K$84,'审核明细'!$D$5:$D$84,"&lt;&gt;首测")</x:f>
        <x:v>155</x:v>
      </x:c>
      <x:c r="H6" s="2" t="n">
        <x:f>SUM(I12,I13,I14,I15,I16,I17,I18,I19,I20,I21,I22,I23,I24,I25,I26,I27,I28,I29,I30,I31)</x:f>
        <x:v>71</x:v>
      </x:c>
      <x:c r="I6" s="2" t="n">
        <x:f>B6*4</x:f>
        <x:v>80</x:v>
      </x:c>
    </x:row>
    <x:row r="7" ht="30" customHeight="1">
      <x:c r="A7" s="2" t="str">
        <x:v>回归9题</x:v>
      </x:c>
      <x:c r="B7" s="2" t="n">
        <x:v>9</x:v>
      </x:c>
      <x:c r="C7" s="9" t="n">
        <x:f>AVERAGEIFS('审核明细'!$K$5:$K$84,'审核明细'!$D$5:$D$84,"首测",'审核明细'!$C$5:$C$84,A7)</x:f>
        <x:v>155.55555555555554</x:v>
      </x:c>
      <x:c r="D7" s="9" t="n">
        <x:f>AVERAGEIFS('审核明细'!$K$5:$K$84,'审核明细'!$D$5:$D$84,"二测第1次",'审核明细'!$C$5:$C$84,A7)</x:f>
        <x:v>144.44444444444446</x:v>
      </x:c>
      <x:c r="E7" s="9" t="n">
        <x:f>AVERAGEIFS('审核明细'!$K$5:$K$84,'审核明细'!$D$5:$D$84,"二测第2次",'审核明细'!$C$5:$C$84,A7)</x:f>
        <x:v>133.33333333333334</x:v>
      </x:c>
      <x:c r="F7" s="9" t="n">
        <x:f>AVERAGEIFS('审核明细'!$K$5:$K$84,'审核明细'!$D$5:$D$84,"二测第3次",'审核明细'!$C$5:$C$84,A7)</x:f>
        <x:v>155.55555555555554</x:v>
      </x:c>
      <x:c r="G7" s="9" t="n">
        <x:f>AVERAGEIFS('审核明细'!$K$5:$K$84,'审核明细'!$D$5:$D$84,"&lt;&gt;首测",'审核明细'!$C$5:$C$84,A7)</x:f>
        <x:v>144.44444444444446</x:v>
      </x:c>
      <x:c r="H7" s="2" t="n">
        <x:f>SUM(I12,I13,I17,I18,I21,I23,I25,I28,I31)</x:f>
        <x:v>31</x:v>
      </x:c>
      <x:c r="I7" s="2" t="n">
        <x:f>B7*4</x:f>
        <x:v>36</x:v>
      </x:c>
    </x:row>
    <x:row r="8" ht="30" customHeight="1">
      <x:c r="A8" s="2" t="str">
        <x:v>新增11题</x:v>
      </x:c>
      <x:c r="B8" s="2" t="n">
        <x:v>11</x:v>
      </x:c>
      <x:c r="C8" s="9" t="n">
        <x:f>AVERAGEIFS('审核明细'!$K$5:$K$84,'审核明细'!$D$5:$D$84,"首测",'审核明细'!$C$5:$C$84,A8)</x:f>
        <x:v>181.8181818181818</x:v>
      </x:c>
      <x:c r="D8" s="9" t="n">
        <x:f>AVERAGEIFS('审核明细'!$K$5:$K$84,'审核明细'!$D$5:$D$84,"二测第1次",'审核明细'!$C$5:$C$84,A8)</x:f>
        <x:v>163.63636363636363</x:v>
      </x:c>
      <x:c r="E8" s="9" t="n">
        <x:f>AVERAGEIFS('审核明细'!$K$5:$K$84,'审核明细'!$D$5:$D$84,"二测第2次",'审核明细'!$C$5:$C$84,A8)</x:f>
        <x:v>145.45454545454547</x:v>
      </x:c>
      <x:c r="F8" s="9" t="n">
        <x:f>AVERAGEIFS('审核明细'!$K$5:$K$84,'审核明细'!$D$5:$D$84,"二测第3次",'审核明细'!$C$5:$C$84,A8)</x:f>
        <x:v>181.8181818181818</x:v>
      </x:c>
      <x:c r="G8" s="9" t="n">
        <x:f>AVERAGEIFS('审核明细'!$K$5:$K$84,'审核明细'!$D$5:$D$84,"&lt;&gt;首测",'审核明细'!$C$5:$C$84,A8)</x:f>
        <x:v>163.63636363636363</x:v>
      </x:c>
      <x:c r="H8" s="2" t="n">
        <x:f>SUM(I14,I15,I16,I19,I20,I22,I24,I26,I27,I29,I30)</x:f>
        <x:v>40</x:v>
      </x:c>
      <x:c r="I8" s="2" t="n">
        <x:f>B8*4</x:f>
        <x:v>44</x:v>
      </x:c>
    </x:row>
    <x:row r="9" ht="30" customHeight="1">
      <x:c r="A9" s="2"/>
      <x:c r="B9" s="2"/>
      <x:c r="C9" s="2"/>
      <x:c r="D9" s="2"/>
      <x:c r="E9" s="2"/>
      <x:c r="F9" s="2"/>
      <x:c r="G9" s="2"/>
      <x:c r="H9" s="2"/>
      <x:c r="I9" s="2"/>
    </x:row>
    <x:row r="10" ht="30" customHeight="1">
      <x:c r="A10" s="4" t="str">
        <x:v>MAE为平均绝对分差。颜色仅提示单次评分与人工分相差超过200分；不代表标签或题解正确。</x:v>
      </x:c>
      <x:c r="B10" s="4"/>
      <x:c r="C10" s="4"/>
      <x:c r="D10" s="4"/>
      <x:c r="E10" s="4"/>
      <x:c r="F10" s="4"/>
      <x:c r="G10" s="4"/>
      <x:c r="H10" s="4"/>
      <x:c r="I10" s="4"/>
    </x:row>
    <x:row r="11" ht="44" customHeight="1">
      <x:c r="A11" s="8" t="str">
        <x:v>匿名编号</x:v>
      </x:c>
      <x:c r="B11" s="8" t="str">
        <x:v>题目名称</x:v>
      </x:c>
      <x:c r="C11" s="8" t="str">
        <x:v>原始链接</x:v>
      </x:c>
      <x:c r="D11" s="8" t="str">
        <x:v>人工分</x:v>
      </x:c>
      <x:c r="E11" s="8" t="str">
        <x:v>首测</x:v>
      </x:c>
      <x:c r="F11" s="8" t="str">
        <x:v>二测第1次</x:v>
      </x:c>
      <x:c r="G11" s="8" t="str">
        <x:v>二测第2次</x:v>
      </x:c>
      <x:c r="H11" s="8" t="str">
        <x:v>二测第3次</x:v>
      </x:c>
      <x:c r="I11" s="8" t="str">
        <x:v>标签与题解均正确次数（代理复核）</x:v>
      </x:c>
    </x:row>
    <x:row r="12" ht="38" customHeight="1">
      <x:c r="A12" s="2" t="str">
        <x:v>B01</x:v>
      </x:c>
      <x:c r="B12" s="13" t="str">
        <x:v>区间加与单点查询</x:v>
      </x:c>
      <x:c r="C12" s="14" t="str">
        <x:v>https://www.luogu.com.cn/problem/P3368</x:v>
      </x:c>
      <x:c r="D12" s="11" t="n">
        <x:v>1100</x:v>
      </x:c>
      <x:c r="E12" s="11" t="n">
        <x:v>1400</x:v>
      </x:c>
      <x:c r="F12" s="11" t="n">
        <x:v>1300</x:v>
      </x:c>
      <x:c r="G12" s="11" t="n">
        <x:v>1300</x:v>
      </x:c>
      <x:c r="H12" s="11" t="n">
        <x:v>1400</x:v>
      </x:c>
      <x:c r="I12" s="11" t="n">
        <x:f>SUM(IF('审核明细'!I5,1,0),IF('审核明细'!I6,1,0),IF('审核明细'!I7,1,0),IF('审核明细'!I8,1,0))</x:f>
        <x:v>4</x:v>
      </x:c>
    </x:row>
    <x:row r="13" ht="38" customHeight="1">
      <x:c r="A13" s="2" t="str">
        <x:v>B02</x:v>
      </x:c>
      <x:c r="B13" s="13" t="str">
        <x:v>长度固定为 k 的最小区间和起点</x:v>
      </x:c>
      <x:c r="C13" s="14" t="str">
        <x:v>https://codeforces.com/problemset/problem/363/B</x:v>
      </x:c>
      <x:c r="D13" s="11" t="n">
        <x:v>1100</x:v>
      </x:c>
      <x:c r="E13" s="11" t="n">
        <x:v>800</x:v>
      </x:c>
      <x:c r="F13" s="11" t="n">
        <x:v>800</x:v>
      </x:c>
      <x:c r="G13" s="11" t="n">
        <x:v>1000</x:v>
      </x:c>
      <x:c r="H13" s="11" t="n">
        <x:v>800</x:v>
      </x:c>
      <x:c r="I13" s="11" t="n">
        <x:f>SUM(IF('审核明细'!I9,1,0),IF('审核明细'!I10,1,0),IF('审核明细'!I11,1,0),IF('审核明细'!I12,1,0))</x:f>
        <x:v>4</x:v>
      </x:c>
    </x:row>
    <x:row r="14" ht="38" customHeight="1">
      <x:c r="A14" s="2" t="str">
        <x:v>B03</x:v>
      </x:c>
      <x:c r="B14" s="13" t="str">
        <x:v>矩阵快速幂取模</x:v>
      </x:c>
      <x:c r="C14" s="14" t="str">
        <x:v>https://www.luogu.com.cn/problem/P3390</x:v>
      </x:c>
      <x:c r="D14" s="11" t="n">
        <x:v>1500</x:v>
      </x:c>
      <x:c r="E14" s="11" t="n">
        <x:v>1300</x:v>
      </x:c>
      <x:c r="F14" s="11" t="n">
        <x:v>1300</x:v>
      </x:c>
      <x:c r="G14" s="11" t="n">
        <x:v>1400</x:v>
      </x:c>
      <x:c r="H14" s="11" t="n">
        <x:v>1200</x:v>
      </x:c>
      <x:c r="I14" s="11" t="n">
        <x:f>SUM(IF('审核明细'!I13,1,0),IF('审核明细'!I14,1,0),IF('审核明细'!I15,1,0),IF('审核明细'!I16,1,0))</x:f>
        <x:v>4</x:v>
      </x:c>
    </x:row>
    <x:row r="15" ht="38" customHeight="1">
      <x:c r="A15" s="2" t="str">
        <x:v>B04</x:v>
      </x:c>
      <x:c r="B15" s="13" t="str">
        <x:v>01网格连通块查询</x:v>
      </x:c>
      <x:c r="C15" s="14" t="str">
        <x:v>https://www.luogu.com.cn/problem/P1141</x:v>
      </x:c>
      <x:c r="D15" s="11" t="n">
        <x:v>1000</x:v>
      </x:c>
      <x:c r="E15" s="11" t="n">
        <x:v>1100</x:v>
      </x:c>
      <x:c r="F15" s="11" t="n">
        <x:v>1200</x:v>
      </x:c>
      <x:c r="G15" s="11" t="n">
        <x:v>1200</x:v>
      </x:c>
      <x:c r="H15" s="11" t="n">
        <x:v>1200</x:v>
      </x:c>
      <x:c r="I15" s="11" t="n">
        <x:f>SUM(IF('审核明细'!I17,1,0),IF('审核明细'!I18,1,0),IF('审核明细'!I19,1,0),IF('审核明细'!I20,1,0))</x:f>
        <x:v>4</x:v>
      </x:c>
    </x:row>
    <x:row r="16" ht="38" customHeight="1">
      <x:c r="A16" s="2" t="str">
        <x:v>B05</x:v>
      </x:c>
      <x:c r="B16" s="13" t="str">
        <x:v>职员宴会最大快乐指数</x:v>
      </x:c>
      <x:c r="C16" s="14" t="str">
        <x:v>https://www.luogu.com.cn/problem/P1352</x:v>
      </x:c>
      <x:c r="D16" s="11" t="n">
        <x:v>1300</x:v>
      </x:c>
      <x:c r="E16" s="11" t="n">
        <x:v>1400</x:v>
      </x:c>
      <x:c r="F16" s="11" t="n">
        <x:v>1400</x:v>
      </x:c>
      <x:c r="G16" s="11" t="n">
        <x:v>1200</x:v>
      </x:c>
      <x:c r="H16" s="11" t="n">
        <x:v>1400</x:v>
      </x:c>
      <x:c r="I16" s="11" t="n">
        <x:f>SUM(IF('审核明细'!I21,1,0),IF('审核明细'!I22,1,0),IF('审核明细'!I23,1,0),IF('审核明细'!I24,1,0))</x:f>
        <x:v>4</x:v>
      </x:c>
    </x:row>
    <x:row r="17" ht="38" customHeight="1">
      <x:c r="A17" s="2" t="str">
        <x:v>B06</x:v>
      </x:c>
      <x:c r="B17" s="13" t="str">
        <x:v>商店价格预算计数</x:v>
      </x:c>
      <x:c r="C17" s="14" t="str">
        <x:v>https://codeforces.com/problemset/problem/706/B</x:v>
      </x:c>
      <x:c r="D17" s="11" t="n">
        <x:v>1100</x:v>
      </x:c>
      <x:c r="E17" s="11" t="n">
        <x:v>1100</x:v>
      </x:c>
      <x:c r="F17" s="11" t="n">
        <x:v>1100</x:v>
      </x:c>
      <x:c r="G17" s="11" t="n">
        <x:v>800</x:v>
      </x:c>
      <x:c r="H17" s="11" t="n">
        <x:v>1100</x:v>
      </x:c>
      <x:c r="I17" s="11" t="n">
        <x:f>SUM(IF('审核明细'!I25,1,0),IF('审核明细'!I26,1,0),IF('审核明细'!I27,1,0),IF('审核明细'!I28,1,0))</x:f>
        <x:v>3</x:v>
      </x:c>
    </x:row>
    <x:row r="18" ht="38" customHeight="1">
      <x:c r="A18" s="2" t="str">
        <x:v>B07</x:v>
      </x:c>
      <x:c r="B18" s="13" t="str">
        <x:v>统计在文本中出现过的模式串编号数</x:v>
      </x:c>
      <x:c r="C18" s="14" t="str">
        <x:v>https://www.luogu.com.cn/problem/P3808</x:v>
      </x:c>
      <x:c r="D18" s="11" t="n">
        <x:v>1700</x:v>
      </x:c>
      <x:c r="E18" s="11" t="n">
        <x:v>1700</x:v>
      </x:c>
      <x:c r="F18" s="11" t="n">
        <x:v>1800</x:v>
      </x:c>
      <x:c r="G18" s="11" t="n">
        <x:v>1900</x:v>
      </x:c>
      <x:c r="H18" s="11" t="n">
        <x:v>1800</x:v>
      </x:c>
      <x:c r="I18" s="11" t="n">
        <x:f>SUM(IF('审核明细'!I29,1,0),IF('审核明细'!I30,1,0),IF('审核明细'!I31,1,0),IF('审核明细'!I32,1,0))</x:f>
        <x:v>3</x:v>
      </x:c>
    </x:row>
    <x:row r="19" ht="38" customHeight="1">
      <x:c r="A19" s="2" t="str">
        <x:v>B08</x:v>
      </x:c>
      <x:c r="B19" s="13" t="str">
        <x:v>二分图最大匹配</x:v>
      </x:c>
      <x:c r="C19" s="14" t="str">
        <x:v>https://www.luogu.com.cn/problem/P3386</x:v>
      </x:c>
      <x:c r="D19" s="11" t="n">
        <x:v>1500</x:v>
      </x:c>
      <x:c r="E19" s="11" t="n">
        <x:v>1400</x:v>
      </x:c>
      <x:c r="F19" s="11" t="n">
        <x:v>1700</x:v>
      </x:c>
      <x:c r="G19" s="11" t="n">
        <x:v>1500</x:v>
      </x:c>
      <x:c r="H19" s="11" t="n">
        <x:v>1400</x:v>
      </x:c>
      <x:c r="I19" s="11" t="n">
        <x:f>SUM(IF('审核明细'!I33,1,0),IF('审核明细'!I34,1,0),IF('审核明细'!I35,1,0),IF('审核明细'!I36,1,0))</x:f>
        <x:v>4</x:v>
      </x:c>
    </x:row>
    <x:row r="20" ht="38" customHeight="1">
      <x:c r="A20" s="2" t="str">
        <x:v>B09</x:v>
      </x:c>
      <x:c r="B20" s="13" t="str">
        <x:v>环形石子合并的最小与最大得分</x:v>
      </x:c>
      <x:c r="C20" s="14" t="str">
        <x:v>https://www.luogu.com.cn/problem/P1880</x:v>
      </x:c>
      <x:c r="D20" s="11" t="n">
        <x:v>1400</x:v>
      </x:c>
      <x:c r="E20" s="11" t="n">
        <x:v>1500</x:v>
      </x:c>
      <x:c r="F20" s="11" t="n">
        <x:v>1500</x:v>
      </x:c>
      <x:c r="G20" s="11" t="n">
        <x:v>1500</x:v>
      </x:c>
      <x:c r="H20" s="11" t="n">
        <x:v>1500</x:v>
      </x:c>
      <x:c r="I20" s="11" t="n">
        <x:f>SUM(IF('审核明细'!I37,1,0),IF('审核明细'!I38,1,0),IF('审核明细'!I39,1,0),IF('审核明细'!I40,1,0))</x:f>
        <x:v>4</x:v>
      </x:c>
    </x:row>
    <x:row r="21" ht="38" customHeight="1">
      <x:c r="A21" s="2" t="str">
        <x:v>B10</x:v>
      </x:c>
      <x:c r="B21" s="13" t="str">
        <x:v>乘二减一最少操作</x:v>
      </x:c>
      <x:c r="C21" s="14" t="str">
        <x:v>https://codeforces.com/problemset/problem/520/B</x:v>
      </x:c>
      <x:c r="D21" s="11" t="n">
        <x:v>1400</x:v>
      </x:c>
      <x:c r="E21" s="11" t="n">
        <x:v>1200</x:v>
      </x:c>
      <x:c r="F21" s="11" t="n">
        <x:v>1400</x:v>
      </x:c>
      <x:c r="G21" s="11" t="n">
        <x:v>1400</x:v>
      </x:c>
      <x:c r="H21" s="11" t="n">
        <x:v>1100</x:v>
      </x:c>
      <x:c r="I21" s="11" t="n">
        <x:f>SUM(IF('审核明细'!I41,1,0),IF('审核明细'!I42,1,0),IF('审核明细'!I43,1,0),IF('审核明细'!I44,1,0))</x:f>
        <x:v>3</x:v>
      </x:c>
    </x:row>
    <x:row r="22" ht="38" customHeight="1">
      <x:c r="A22" s="2" t="str">
        <x:v>B11</x:v>
      </x:c>
      <x:c r="B22" s="13" t="str">
        <x:v>栈输出序列计数</x:v>
      </x:c>
      <x:c r="C22" s="14" t="str">
        <x:v>https://www.luogu.com.cn/problem/P1044</x:v>
      </x:c>
      <x:c r="D22" s="11" t="n">
        <x:v>1500</x:v>
      </x:c>
      <x:c r="E22" s="11" t="n">
        <x:v>1100</x:v>
      </x:c>
      <x:c r="F22" s="11" t="n">
        <x:v>1200</x:v>
      </x:c>
      <x:c r="G22" s="11" t="n">
        <x:v>1300</x:v>
      </x:c>
      <x:c r="H22" s="11" t="n">
        <x:v>1200</x:v>
      </x:c>
      <x:c r="I22" s="11" t="n">
        <x:f>SUM(IF('审核明细'!I45,1,0),IF('审核明细'!I46,1,0),IF('审核明细'!I47,1,0),IF('审核明细'!I48,1,0))</x:f>
        <x:v>3</x:v>
      </x:c>
    </x:row>
    <x:row r="23" ht="38" customHeight="1">
      <x:c r="A23" s="2" t="str">
        <x:v>B12</x:v>
      </x:c>
      <x:c r="B23" s="13" t="str">
        <x:v>连续编号分组查询</x:v>
      </x:c>
      <x:c r="C23" s="14" t="str">
        <x:v>https://codeforces.com/problemset/problem/474/B</x:v>
      </x:c>
      <x:c r="D23" s="11" t="n">
        <x:v>1200</x:v>
      </x:c>
      <x:c r="E23" s="11" t="n">
        <x:v>1100</x:v>
      </x:c>
      <x:c r="F23" s="11" t="n">
        <x:v>1000</x:v>
      </x:c>
      <x:c r="G23" s="11" t="n">
        <x:v>1100</x:v>
      </x:c>
      <x:c r="H23" s="11" t="n">
        <x:v>1100</x:v>
      </x:c>
      <x:c r="I23" s="11" t="n">
        <x:f>SUM(IF('审核明细'!I49,1,0),IF('审核明细'!I50,1,0),IF('审核明细'!I51,1,0),IF('审核明细'!I52,1,0))</x:f>
        <x:v>4</x:v>
      </x:c>
    </x:row>
    <x:row r="24" ht="38" customHeight="1">
      <x:c r="A24" s="2" t="str">
        <x:v>B13</x:v>
      </x:c>
      <x:c r="B24" s="13" t="str">
        <x:v>统计不同字符串个数</x:v>
      </x:c>
      <x:c r="C24" s="14" t="str">
        <x:v>https://www.luogu.com.cn/problem/P3370</x:v>
      </x:c>
      <x:c r="D24" s="11" t="n">
        <x:v>1100</x:v>
      </x:c>
      <x:c r="E24" s="11" t="n">
        <x:v>800</x:v>
      </x:c>
      <x:c r="F24" s="11" t="n">
        <x:v>800</x:v>
      </x:c>
      <x:c r="G24" s="11" t="n">
        <x:v>800</x:v>
      </x:c>
      <x:c r="H24" s="11" t="n">
        <x:v>800</x:v>
      </x:c>
      <x:c r="I24" s="11" t="n">
        <x:f>SUM(IF('审核明细'!I53,1,0),IF('审核明细'!I54,1,0),IF('审核明细'!I55,1,0),IF('审核明细'!I56,1,0))</x:f>
        <x:v>3</x:v>
      </x:c>
    </x:row>
    <x:row r="25" ht="38" customHeight="1">
      <x:c r="A25" s="2" t="str">
        <x:v>B14</x:v>
      </x:c>
      <x:c r="B25" s="13" t="str">
        <x:v>连续阅读任务的最大完成数</x:v>
      </x:c>
      <x:c r="C25" s="14" t="str">
        <x:v>https://codeforces.com/problemset/problem/279/B</x:v>
      </x:c>
      <x:c r="D25" s="11" t="n">
        <x:v>1300</x:v>
      </x:c>
      <x:c r="E25" s="11" t="n">
        <x:v>1100</x:v>
      </x:c>
      <x:c r="F25" s="11" t="n">
        <x:v>1100</x:v>
      </x:c>
      <x:c r="G25" s="11" t="n">
        <x:v>1200</x:v>
      </x:c>
      <x:c r="H25" s="11" t="n">
        <x:v>1200</x:v>
      </x:c>
      <x:c r="I25" s="11" t="n">
        <x:f>SUM(IF('审核明细'!I57,1,0),IF('审核明细'!I58,1,0),IF('审核明细'!I59,1,0),IF('审核明细'!I60,1,0))</x:f>
        <x:v>4</x:v>
      </x:c>
    </x:row>
    <x:row r="26" ht="38" customHeight="1">
      <x:c r="A26" s="2" t="str">
        <x:v>B15</x:v>
      </x:c>
      <x:c r="B26" s="13" t="str">
        <x:v>最多参加的完整比赛数</x:v>
      </x:c>
      <x:c r="C26" s="14" t="str">
        <x:v>https://www.luogu.com.cn/problem/P1803</x:v>
      </x:c>
      <x:c r="D26" s="11" t="n">
        <x:v>1000</x:v>
      </x:c>
      <x:c r="E26" s="11" t="n">
        <x:v>1400</x:v>
      </x:c>
      <x:c r="F26" s="11" t="n">
        <x:v>1300</x:v>
      </x:c>
      <x:c r="G26" s="11" t="n">
        <x:v>1300</x:v>
      </x:c>
      <x:c r="H26" s="11" t="n">
        <x:v>1200</x:v>
      </x:c>
      <x:c r="I26" s="11" t="n">
        <x:f>SUM(IF('审核明细'!I61,1,0),IF('审核明细'!I62,1,0),IF('审核明细'!I63,1,0),IF('审核明细'!I64,1,0))</x:f>
        <x:v>4</x:v>
      </x:c>
    </x:row>
    <x:row r="27" ht="38" customHeight="1">
      <x:c r="A27" s="2" t="str">
        <x:v>B16</x:v>
      </x:c>
      <x:c r="B27" s="13" t="str">
        <x:v>滑动窗口前缀最小值</x:v>
      </x:c>
      <x:c r="C27" s="14" t="str">
        <x:v>https://www.luogu.com.cn/problem/P1440</x:v>
      </x:c>
      <x:c r="D27" s="11" t="n">
        <x:v>1300</x:v>
      </x:c>
      <x:c r="E27" s="11" t="n">
        <x:v>1400</x:v>
      </x:c>
      <x:c r="F27" s="11" t="n">
        <x:v>1300</x:v>
      </x:c>
      <x:c r="G27" s="11" t="n">
        <x:v>1200</x:v>
      </x:c>
      <x:c r="H27" s="11" t="n">
        <x:v>1200</x:v>
      </x:c>
      <x:c r="I27" s="11" t="n">
        <x:f>SUM(IF('审核明细'!I65,1,0),IF('审核明细'!I66,1,0),IF('审核明细'!I67,1,0),IF('审核明细'!I68,1,0))</x:f>
        <x:v>4</x:v>
      </x:c>
    </x:row>
    <x:row r="28" ht="38" customHeight="1">
      <x:c r="A28" s="2" t="str">
        <x:v>B17</x:v>
      </x:c>
      <x:c r="B28" s="13" t="str">
        <x:v>图的最少换边连通（CF25D）</x:v>
      </x:c>
      <x:c r="C28" s="14" t="str">
        <x:v>https://codeforces.com/problemset/problem/25/D</x:v>
      </x:c>
      <x:c r="D28" s="11" t="n">
        <x:v>1500</x:v>
      </x:c>
      <x:c r="E28" s="11" t="n">
        <x:v>1400</x:v>
      </x:c>
      <x:c r="F28" s="11" t="n">
        <x:v>1700</x:v>
      </x:c>
      <x:c r="G28" s="11" t="n">
        <x:v>1500</x:v>
      </x:c>
      <x:c r="H28" s="11" t="n">
        <x:v>1600</x:v>
      </x:c>
      <x:c r="I28" s="11" t="n">
        <x:f>SUM(IF('审核明细'!I69,1,0),IF('审核明细'!I70,1,0),IF('审核明细'!I71,1,0),IF('审核明细'!I72,1,0))</x:f>
        <x:v>2</x:v>
      </x:c>
    </x:row>
    <x:row r="29" ht="38" customHeight="1">
      <x:c r="A29" s="2" t="str">
        <x:v>B18</x:v>
      </x:c>
      <x:c r="B29" s="13" t="str">
        <x:v>区间加与区间和</x:v>
      </x:c>
      <x:c r="C29" s="14" t="str">
        <x:v>https://www.luogu.com.cn/problem/P3372</x:v>
      </x:c>
      <x:c r="D29" s="11" t="n">
        <x:v>1700</x:v>
      </x:c>
      <x:c r="E29" s="11" t="n">
        <x:v>1500</x:v>
      </x:c>
      <x:c r="F29" s="11" t="n">
        <x:v>1600</x:v>
      </x:c>
      <x:c r="G29" s="11" t="n">
        <x:v>1500</x:v>
      </x:c>
      <x:c r="H29" s="11" t="n">
        <x:v>1400</x:v>
      </x:c>
      <x:c r="I29" s="11" t="n">
        <x:f>SUM(IF('审核明细'!I73,1,0),IF('审核明细'!I74,1,0),IF('审核明细'!I75,1,0),IF('审核明细'!I76,1,0))</x:f>
        <x:v>3</x:v>
      </x:c>
    </x:row>
    <x:row r="30" ht="38" customHeight="1">
      <x:c r="A30" s="2" t="str">
        <x:v>B19</x:v>
      </x:c>
      <x:c r="B30" s="13" t="str">
        <x:v>快速幂取模</x:v>
      </x:c>
      <x:c r="C30" s="14" t="str">
        <x:v>https://www.luogu.com.cn/problem/P1226</x:v>
      </x:c>
      <x:c r="D30" s="11" t="n">
        <x:v>1100</x:v>
      </x:c>
      <x:c r="E30" s="11" t="n">
        <x:v>1100</x:v>
      </x:c>
      <x:c r="F30" s="11" t="n">
        <x:v>1100</x:v>
      </x:c>
      <x:c r="G30" s="11" t="n">
        <x:v>1100</x:v>
      </x:c>
      <x:c r="H30" s="11" t="n">
        <x:v>1100</x:v>
      </x:c>
      <x:c r="I30" s="11" t="n">
        <x:f>SUM(IF('审核明细'!I77,1,0),IF('审核明细'!I78,1,0),IF('审核明细'!I79,1,0),IF('审核明细'!I80,1,0))</x:f>
        <x:v>3</x:v>
      </x:c>
    </x:row>
    <x:row r="31" ht="38" customHeight="1">
      <x:c r="A31" s="2" t="str">
        <x:v>B20</x:v>
      </x:c>
      <x:c r="B31" s="13" t="str">
        <x:v>第 k 个素数查询</x:v>
      </x:c>
      <x:c r="C31" s="14" t="str">
        <x:v>https://www.luogu.com.cn/problem/P3383</x:v>
      </x:c>
      <x:c r="D31" s="11" t="n">
        <x:v>1300</x:v>
      </x:c>
      <x:c r="E31" s="11" t="n">
        <x:v>1100</x:v>
      </x:c>
      <x:c r="F31" s="11" t="n">
        <x:v>1200</x:v>
      </x:c>
      <x:c r="G31" s="11" t="n">
        <x:v>1100</x:v>
      </x:c>
      <x:c r="H31" s="11" t="n">
        <x:v>1200</x:v>
      </x:c>
      <x:c r="I31" s="11" t="n">
        <x:f>SUM(IF('审核明细'!I81,1,0),IF('审核明细'!I82,1,0),IF('审核明细'!I83,1,0),IF('审核明细'!I84,1,0))</x:f>
        <x:v>4</x:v>
      </x:c>
    </x:row>
  </x:sheetData>
  <x:conditionalFormatting sqref="E12:H31">
    <x:cfRule type="expression" dxfId="0" priority="1">
      <x:formula>ABS(E12-$D12)&gt;200</x:formula>
    </x:cfRule>
  </x:conditionalFormatting>
  <x:hyperlinks>
    <x:hyperlink ref="C12" r:id="rIdOriginal12"/>
    <x:hyperlink ref="C13" r:id="rIdOriginal13"/>
    <x:hyperlink ref="C14" r:id="rIdOriginal14"/>
    <x:hyperlink ref="C15" r:id="rIdOriginal15"/>
    <x:hyperlink ref="C16" r:id="rIdOriginal16"/>
    <x:hyperlink ref="C17" r:id="rIdOriginal17"/>
    <x:hyperlink ref="C18" r:id="rIdOriginal18"/>
    <x:hyperlink ref="C19" r:id="rIdOriginal19"/>
    <x:hyperlink ref="C20" r:id="rIdOriginal20"/>
    <x:hyperlink ref="C21" r:id="rIdOriginal21"/>
    <x:hyperlink ref="C22" r:id="rIdOriginal22"/>
    <x:hyperlink ref="C23" r:id="rIdOriginal23"/>
    <x:hyperlink ref="C24" r:id="rIdOriginal24"/>
    <x:hyperlink ref="C25" r:id="rIdOriginal25"/>
    <x:hyperlink ref="C26" r:id="rIdOriginal26"/>
    <x:hyperlink ref="C27" r:id="rIdOriginal27"/>
    <x:hyperlink ref="C28" r:id="rIdOriginal28"/>
    <x:hyperlink ref="C29" r:id="rIdOriginal29"/>
    <x:hyperlink ref="C30" r:id="rIdOriginal30"/>
    <x:hyperlink ref="C31" r:id="rIdOriginal31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0A0A0"/>
  </x:sheetPr>
  <x:dimension ref="A1:M84"/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2" hidden="0" customWidth="1"/>
    <x:col min="2" max="2" width="30" hidden="0" customWidth="1"/>
    <x:col min="3" max="3" width="13" hidden="0" customWidth="1"/>
    <x:col min="4" max="4" width="14" hidden="0" customWidth="1"/>
    <x:col min="5" max="5" width="11" hidden="0" customWidth="1"/>
    <x:col min="6" max="6" width="11" hidden="0" customWidth="1"/>
    <x:col min="7" max="7" width="13" hidden="0" customWidth="1"/>
    <x:col min="8" max="8" width="13" hidden="0" customWidth="1"/>
    <x:col min="9" max="9" width="21" hidden="0" customWidth="1"/>
    <x:col min="10" max="10" width="11" hidden="0" customWidth="1"/>
    <x:col min="11" max="11" width="12" hidden="0" customWidth="1"/>
    <x:col min="12" max="12" width="110" hidden="0" customWidth="1"/>
    <x:col min="13" max="13" width="7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30" customHeight="1">
      <x:c r="A2" s="3" t="str">
        <x:v>80次代理复核明细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30" customHeight="1">
      <x:c r="A3" s="4" t="str">
        <x:v>TRUE/FALSE为原生布尔值；“均正确”=AND(标签正确,题解正确)。分差=模型−人工，绝对分差用于主表MAE。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44" customHeight="1">
      <x:c r="A4" s="8" t="str">
        <x:v>匿名编号</x:v>
      </x:c>
      <x:c r="B4" s="8" t="str">
        <x:v>题目名称</x:v>
      </x:c>
      <x:c r="C4" s="8" t="str">
        <x:v>分组</x:v>
      </x:c>
      <x:c r="D4" s="8" t="str">
        <x:v>测试轮次</x:v>
      </x:c>
      <x:c r="E4" s="8" t="str">
        <x:v>人工分</x:v>
      </x:c>
      <x:c r="F4" s="8" t="str">
        <x:v>模型分</x:v>
      </x:c>
      <x:c r="G4" s="8" t="str">
        <x:v>标签正确</x:v>
      </x:c>
      <x:c r="H4" s="8" t="str">
        <x:v>题解正确</x:v>
      </x:c>
      <x:c r="I4" s="8" t="str">
        <x:v>标签与题解均正确</x:v>
      </x:c>
      <x:c r="J4" s="8" t="str">
        <x:v>分差</x:v>
      </x:c>
      <x:c r="K4" s="8" t="str">
        <x:v>绝对分差</x:v>
      </x:c>
      <x:c r="L4" s="8" t="str">
        <x:v>代理复核依据</x:v>
      </x:c>
      <x:c r="M4" s="8" t="str">
        <x:v>数据定位</x:v>
      </x:c>
    </x:row>
    <x:row r="5" ht="48" customHeight="1">
      <x:c r="A5" s="2" t="str">
        <x:v>B01</x:v>
      </x:c>
      <x:c r="B5" s="2" t="str">
        <x:v>区间加与单点查询</x:v>
      </x:c>
      <x:c r="C5" s="2" t="str">
        <x:v>回归9题</x:v>
      </x:c>
      <x:c r="D5" s="2" t="str">
        <x:v>首测</x:v>
      </x:c>
      <x:c r="E5" s="10" t="n">
        <x:v>1100</x:v>
      </x:c>
      <x:c r="F5" s="10" t="n">
        <x:v>1400</x:v>
      </x:c>
      <x:c r="G5" s="16" t="b">
        <x:v>1</x:v>
      </x:c>
      <x:c r="H5" s="16" t="b">
        <x:v>1</x:v>
      </x:c>
      <x:c r="I5" s="17" t="b">
        <x:f>AND(G5,H5)</x:f>
        <x:v>1</x:v>
      </x:c>
      <x:c r="J5" s="10" t="n">
        <x:f>F5-E5</x:f>
        <x:v>300</x:v>
      </x:c>
      <x:c r="K5" s="10" t="n">
        <x:f>ABS(J5)</x:f>
        <x:v>300</x:v>
      </x:c>
      <x:c r="L5" s="18" t="str">
        <x:v>差分两端点修改与前缀和还原一致，Fenwick维护动态修改，单次O(log N)满足规模；明确y=N不写N+1，并采用64位避免差分及中间累加溢出。basic.difference与ds.fenwick恰好覆盖实际主线。</x:v>
      </x:c>
      <x:c r="M5" s="18" t="str">
        <x:v>data/evaluation/v8-second-test/review-packets/first.json#/items/0</x:v>
      </x:c>
    </x:row>
    <x:row r="6" ht="48" customHeight="1">
      <x:c r="A6" s="2" t="str">
        <x:v>B01</x:v>
      </x:c>
      <x:c r="B6" s="2" t="str">
        <x:v>区间加与单点查询</x:v>
      </x:c>
      <x:c r="C6" s="2" t="str">
        <x:v>回归9题</x:v>
      </x:c>
      <x:c r="D6" s="2" t="str">
        <x:v>二测第1次</x:v>
      </x:c>
      <x:c r="E6" s="10" t="n">
        <x:v>1100</x:v>
      </x:c>
      <x:c r="F6" s="10" t="n">
        <x:v>1300</x:v>
      </x:c>
      <x:c r="G6" s="16" t="b">
        <x:v>1</x:v>
      </x:c>
      <x:c r="H6" s="16" t="b">
        <x:v>1</x:v>
      </x:c>
      <x:c r="I6" s="17" t="b">
        <x:f>AND(G6,H6)</x:f>
        <x:v>1</x:v>
      </x:c>
      <x:c r="J6" s="10" t="n">
        <x:f>F6-E6</x:f>
        <x:v>200</x:v>
      </x:c>
      <x:c r="K6" s="10" t="n">
        <x:f>ABS(J6)</x:f>
        <x:v>200</x:v>
      </x:c>
      <x:c r="L6" s="18" t="str">
        <x:v>差分定义、闭区间两端更新及动态前缀和还原完整；y=N不改越界点，64位处理可能达2^31的差分。另列区间加懒标记、沿路径累计的线段树点查也成立。线性建树可实现O(N+M log N)，四标签为两种方法并集。</x:v>
      </x:c>
      <x:c r="M6" s="18" t="str">
        <x:v>data/evaluation/v8-second-test/review-packets/second_1.json#/items/0</x:v>
      </x:c>
    </x:row>
    <x:row r="7" ht="48" customHeight="1">
      <x:c r="A7" s="2" t="str">
        <x:v>B01</x:v>
      </x:c>
      <x:c r="B7" s="2" t="str">
        <x:v>区间加与单点查询</x:v>
      </x:c>
      <x:c r="C7" s="2" t="str">
        <x:v>回归9题</x:v>
      </x:c>
      <x:c r="D7" s="2" t="str">
        <x:v>二测第2次</x:v>
      </x:c>
      <x:c r="E7" s="10" t="n">
        <x:v>1100</x:v>
      </x:c>
      <x:c r="F7" s="10" t="n">
        <x:v>1300</x:v>
      </x:c>
      <x:c r="G7" s="16" t="b">
        <x:v>1</x:v>
      </x:c>
      <x:c r="H7" s="16" t="b">
        <x:v>1</x:v>
      </x:c>
      <x:c r="I7" s="17" t="b">
        <x:f>AND(G7,H7)</x:f>
        <x:v>1</x:v>
      </x:c>
      <x:c r="J7" s="10" t="n">
        <x:f>F7-E7</x:f>
        <x:v>200</x:v>
      </x:c>
      <x:c r="K7" s="10" t="n">
        <x:f>ABS(J7)</x:f>
        <x:v>200</x:v>
      </x:c>
      <x:c r="L7" s="18" t="str">
        <x:v>保留初始a[p]，d维护历史增量，两端点修改对p的前缀和恰在x&lt;=p&lt;=y时贡献k。Fenwick在线维护与懒标记线段树均O(log N)每操作；N+1哨兵或忽略不影响查询，64位边界合理。四标签与两法并集一致。</x:v>
      </x:c>
      <x:c r="M7" s="18" t="str">
        <x:v>data/evaluation/v8-second-test/review-packets/second_2.json#/items/0</x:v>
      </x:c>
    </x:row>
    <x:row r="8" ht="48" customHeight="1">
      <x:c r="A8" s="2" t="str">
        <x:v>B01</x:v>
      </x:c>
      <x:c r="B8" s="2" t="str">
        <x:v>区间加与单点查询</x:v>
      </x:c>
      <x:c r="C8" s="2" t="str">
        <x:v>回归9题</x:v>
      </x:c>
      <x:c r="D8" s="2" t="str">
        <x:v>二测第3次</x:v>
      </x:c>
      <x:c r="E8" s="10" t="n">
        <x:v>1100</x:v>
      </x:c>
      <x:c r="F8" s="10" t="n">
        <x:v>1400</x:v>
      </x:c>
      <x:c r="G8" s="16" t="b">
        <x:v>1</x:v>
      </x:c>
      <x:c r="H8" s="16" t="b">
        <x:v>1</x:v>
      </x:c>
      <x:c r="I8" s="17" t="b">
        <x:f>AND(G8,H8)</x:f>
        <x:v>1</x:v>
      </x:c>
      <x:c r="J8" s="10" t="n">
        <x:f>F8-E8</x:f>
        <x:v>300</x:v>
      </x:c>
      <x:c r="K8" s="10" t="n">
        <x:f>ABS(J8)</x:f>
        <x:v>300</x:v>
      </x:c>
      <x:c r="L8" s="18" t="str">
        <x:v>差分含初始数组，区间两端单点修改与前缀和还原严格一致；Fenwick保证历史修改叠加，y=N忽略后端，负k和64位边界明确。O((N+M)log N)、O(N)可行；差分与Fenwick标签覆盖主线。</x:v>
      </x:c>
      <x:c r="M8" s="18" t="str">
        <x:v>data/evaluation/v8-second-test/review-packets/second_3.json#/items/0</x:v>
      </x:c>
    </x:row>
    <x:row r="9" ht="64" customHeight="1">
      <x:c r="A9" s="2" t="str">
        <x:v>B02</x:v>
      </x:c>
      <x:c r="B9" s="2" t="str">
        <x:v>长度固定为 k 的最小区间和起点</x:v>
      </x:c>
      <x:c r="C9" s="2" t="str">
        <x:v>回归9题</x:v>
      </x:c>
      <x:c r="D9" s="2" t="str">
        <x:v>首测</x:v>
      </x:c>
      <x:c r="E9" s="10" t="n">
        <x:v>1100</x:v>
      </x:c>
      <x:c r="F9" s="10" t="n">
        <x:v>800</x:v>
      </x:c>
      <x:c r="G9" s="16" t="b">
        <x:v>1</x:v>
      </x:c>
      <x:c r="H9" s="16" t="b">
        <x:v>1</x:v>
      </x:c>
      <x:c r="I9" s="17" t="b">
        <x:f>AND(G9,H9)</x:f>
        <x:v>1</x:v>
      </x:c>
      <x:c r="J9" s="10" t="n">
        <x:f>F9-E9</x:f>
        <x:v>-300</x:v>
      </x:c>
      <x:c r="K9" s="10" t="n">
        <x:f>ABS(J9)</x:f>
        <x:v>300</x:v>
      </x:c>
      <x:c r="L9" s="18" t="str">
        <x:v>pre[0]=0，pre[j+k-1]-pre[j-1]枚举全部n-k+1个非环形定长窗口，最小和及起点正确，k=1、k=n均覆盖。前缀和主线O(n)时间空间可行；滚动求和在已保存输入数组后可用O(1)辅助空间。前缀和和枚举标签覆盖实际方法，不强制双指针标签。</x:v>
      </x:c>
      <x:c r="M9" s="18" t="str">
        <x:v>data/evaluation/v8-second-test/review-packets/first.json#/items/1</x:v>
      </x:c>
    </x:row>
    <x:row r="10" ht="48" customHeight="1">
      <x:c r="A10" s="2" t="str">
        <x:v>B02</x:v>
      </x:c>
      <x:c r="B10" s="2" t="str">
        <x:v>长度固定为 k 的最小区间和起点</x:v>
      </x:c>
      <x:c r="C10" s="2" t="str">
        <x:v>回归9题</x:v>
      </x:c>
      <x:c r="D10" s="2" t="str">
        <x:v>二测第1次</x:v>
      </x:c>
      <x:c r="E10" s="10" t="n">
        <x:v>1100</x:v>
      </x:c>
      <x:c r="F10" s="10" t="n">
        <x:v>800</x:v>
      </x:c>
      <x:c r="G10" s="16" t="b">
        <x:v>1</x:v>
      </x:c>
      <x:c r="H10" s="16" t="b">
        <x:v>1</x:v>
      </x:c>
      <x:c r="I10" s="17" t="b">
        <x:f>AND(G10,H10)</x:f>
        <x:v>1</x:v>
      </x:c>
      <x:c r="J10" s="10" t="n">
        <x:f>F10-E10</x:f>
        <x:v>-300</x:v>
      </x:c>
      <x:c r="K10" s="10" t="n">
        <x:f>ABS(J10)</x:f>
        <x:v>300</x:v>
      </x:c>
      <x:c r="L10" s="18" t="str">
        <x:v>前缀和差枚举全部起点，或首窗求和后减旧加新，均覆盖全部n-k+1个定长非环形窗口。k=n及并列任意明确，总和至多15000000。两法O(n)，滑窗O(1)按已存输入后的辅助空间解释；前缀和、枚举和双指针均实际使用。</x:v>
      </x:c>
      <x:c r="M10" s="18" t="str">
        <x:v>data/evaluation/v8-second-test/review-packets/second_1.json#/items/1</x:v>
      </x:c>
    </x:row>
    <x:row r="11" ht="48" customHeight="1">
      <x:c r="A11" s="2" t="str">
        <x:v>B02</x:v>
      </x:c>
      <x:c r="B11" s="2" t="str">
        <x:v>长度固定为 k 的最小区间和起点</x:v>
      </x:c>
      <x:c r="C11" s="2" t="str">
        <x:v>回归9题</x:v>
      </x:c>
      <x:c r="D11" s="2" t="str">
        <x:v>二测第2次</x:v>
      </x:c>
      <x:c r="E11" s="10" t="n">
        <x:v>1100</x:v>
      </x:c>
      <x:c r="F11" s="10" t="n">
        <x:v>1000</x:v>
      </x:c>
      <x:c r="G11" s="16" t="b">
        <x:v>1</x:v>
      </x:c>
      <x:c r="H11" s="16" t="b">
        <x:v>1</x:v>
      </x:c>
      <x:c r="I11" s="17" t="b">
        <x:f>AND(G11,H11)</x:f>
        <x:v>1</x:v>
      </x:c>
      <x:c r="J11" s="10" t="n">
        <x:f>F11-E11</x:f>
        <x:v>-100</x:v>
      </x:c>
      <x:c r="K11" s="10" t="n">
        <x:f>ABS(J11)</x:f>
        <x:v>100</x:v>
      </x:c>
      <x:c r="L11" s="18" t="str">
        <x:v>首窗作为初始最优，滑动从j到j+1减h_j加h_(j+k)，逐窗不漏合法起点；k=1、k=n及并列任意处理。明确存数组O(n)或长度k缓冲O(k)，没有流式O(1)缺口。前缀和备选可行，两标签覆盖两法。</x:v>
      </x:c>
      <x:c r="M11" s="18" t="str">
        <x:v>data/evaluation/v8-second-test/review-packets/second_2.json#/items/1</x:v>
      </x:c>
    </x:row>
    <x:row r="12" ht="48" customHeight="1">
      <x:c r="A12" s="2" t="str">
        <x:v>B02</x:v>
      </x:c>
      <x:c r="B12" s="2" t="str">
        <x:v>长度固定为 k 的最小区间和起点</x:v>
      </x:c>
      <x:c r="C12" s="2" t="str">
        <x:v>回归9题</x:v>
      </x:c>
      <x:c r="D12" s="2" t="str">
        <x:v>二测第3次</x:v>
      </x:c>
      <x:c r="E12" s="10" t="n">
        <x:v>1100</x:v>
      </x:c>
      <x:c r="F12" s="10" t="n">
        <x:v>800</x:v>
      </x:c>
      <x:c r="G12" s="16" t="b">
        <x:v>1</x:v>
      </x:c>
      <x:c r="H12" s="16" t="b">
        <x:v>1</x:v>
      </x:c>
      <x:c r="I12" s="17" t="b">
        <x:f>AND(G12,H12)</x:f>
        <x:v>1</x:v>
      </x:c>
      <x:c r="J12" s="10" t="n">
        <x:f>F12-E12</x:f>
        <x:v>-300</x:v>
      </x:c>
      <x:c r="K12" s="10" t="n">
        <x:f>ABS(J12)</x:f>
        <x:v>300</x:v>
      </x:c>
      <x:c r="L12" s="18" t="str">
        <x:v>首窗求和，逐次减离开元素加新元素，枚举全部n-k+1窗口记录最优起点；k=1/k=n与1-based正确，15000000最大和32位安全。前缀和备选正确；滑窗O(1)额外空间按已存输入解释，两标签对应方法。</x:v>
      </x:c>
      <x:c r="M12" s="18" t="str">
        <x:v>data/evaluation/v8-second-test/review-packets/second_3.json#/items/1</x:v>
      </x:c>
    </x:row>
    <x:row r="13" ht="48" customHeight="1">
      <x:c r="A13" s="2" t="str">
        <x:v>B03</x:v>
      </x:c>
      <x:c r="B13" s="2" t="str">
        <x:v>矩阵快速幂取模</x:v>
      </x:c>
      <x:c r="C13" s="2" t="str">
        <x:v>新增11题</x:v>
      </x:c>
      <x:c r="D13" s="2" t="str">
        <x:v>首测</x:v>
      </x:c>
      <x:c r="E13" s="10" t="n">
        <x:v>1500</x:v>
      </x:c>
      <x:c r="F13" s="10" t="n">
        <x:v>1300</x:v>
      </x:c>
      <x:c r="G13" s="16" t="b">
        <x:v>1</x:v>
      </x:c>
      <x:c r="H13" s="16" t="b">
        <x:v>1</x:v>
      </x:c>
      <x:c r="I13" s="17" t="b">
        <x:f>AND(G13,H13)</x:f>
        <x:v>1</x:v>
      </x:c>
      <x:c r="J13" s="10" t="n">
        <x:f>F13-E13</x:f>
        <x:v>-200</x:v>
      </x:c>
      <x:c r="K13" s="10" t="n">
        <x:f>ABS(J13)</x:f>
        <x:v>200</x:v>
      </x:c>
      <x:c r="L13" s="18" t="str">
        <x:v>单位阵初始化、按位乘入及底数平方组成标准矩阵二进制幂，只依赖结合律。乘法每步取模及long long能承受单次余数乘积，负值归一化和k=0均明确。O(n^3 log k)、O(n^2)在抽象算法口径可接受；矩阵与快速幂标签完整。</x:v>
      </x:c>
      <x:c r="M13" s="18" t="str">
        <x:v>data/evaluation/v8-second-test/review-packets/first.json#/items/2</x:v>
      </x:c>
    </x:row>
    <x:row r="14" ht="48" customHeight="1">
      <x:c r="A14" s="2" t="str">
        <x:v>B03</x:v>
      </x:c>
      <x:c r="B14" s="2" t="str">
        <x:v>矩阵快速幂取模</x:v>
      </x:c>
      <x:c r="C14" s="2" t="str">
        <x:v>新增11题</x:v>
      </x:c>
      <x:c r="D14" s="2" t="str">
        <x:v>二测第1次</x:v>
      </x:c>
      <x:c r="E14" s="10" t="n">
        <x:v>1500</x:v>
      </x:c>
      <x:c r="F14" s="10" t="n">
        <x:v>1300</x:v>
      </x:c>
      <x:c r="G14" s="16" t="b">
        <x:v>1</x:v>
      </x:c>
      <x:c r="H14" s="16" t="b">
        <x:v>1</x:v>
      </x:c>
      <x:c r="I14" s="17" t="b">
        <x:f>AND(G14,H14)</x:f>
        <x:v>1</x:v>
      </x:c>
      <x:c r="J14" s="10" t="n">
        <x:f>F14-E14</x:f>
        <x:v>-200</x:v>
      </x:c>
      <x:c r="K14" s="10" t="n">
        <x:f>ABS(J14)</x:f>
        <x:v>200</x:v>
      </x:c>
      <x:c r="L14" s="18" t="str">
        <x:v>按k二进制分解为A^(2^i)，结合律与单位阵处理k=0，负元素归一化明确。抽象矩阵模乘可逐项取模，没有指定类型或代码证实先累加溢出。O(n^3 log k)、O(n^2)可接受，矩阵和快速幂标签覆盖核心。</x:v>
      </x:c>
      <x:c r="M14" s="18" t="str">
        <x:v>data/evaluation/v8-second-test/review-packets/second_1.json#/items/2</x:v>
      </x:c>
    </x:row>
    <x:row r="15" ht="48" customHeight="1">
      <x:c r="A15" s="2" t="str">
        <x:v>B03</x:v>
      </x:c>
      <x:c r="B15" s="2" t="str">
        <x:v>矩阵快速幂取模</x:v>
      </x:c>
      <x:c r="C15" s="2" t="str">
        <x:v>新增11题</x:v>
      </x:c>
      <x:c r="D15" s="2" t="str">
        <x:v>二测第2次</x:v>
      </x:c>
      <x:c r="E15" s="10" t="n">
        <x:v>1500</x:v>
      </x:c>
      <x:c r="F15" s="10" t="n">
        <x:v>1400</x:v>
      </x:c>
      <x:c r="G15" s="16" t="b">
        <x:v>1</x:v>
      </x:c>
      <x:c r="H15" s="16" t="b">
        <x:v>1</x:v>
      </x:c>
      <x:c r="I15" s="17" t="b">
        <x:f>AND(G15,H15)</x:f>
        <x:v>1</x:v>
      </x:c>
      <x:c r="J15" s="10" t="n">
        <x:f>F15-E15</x:f>
        <x:v>-100</x:v>
      </x:c>
      <x:c r="K15" s="10" t="n">
        <x:f>ABS(J15)</x:f>
        <x:v>100</x:v>
      </x:c>
      <x:c r="L15" s="18" t="str">
        <x:v>ans=I，最低位1则乘base，每轮平方和右移，正是结合律下矩阵二进制幂；k=0、n=1与负数规范明确。模乘逐项取模可安全实现，O(n^3 log k)、O(n^2)可接受，矩阵和快速幂标签准确。</x:v>
      </x:c>
      <x:c r="M15" s="18" t="str">
        <x:v>data/evaluation/v8-second-test/review-packets/second_2.json#/items/2</x:v>
      </x:c>
    </x:row>
    <x:row r="16" ht="48" customHeight="1">
      <x:c r="A16" s="2" t="str">
        <x:v>B03</x:v>
      </x:c>
      <x:c r="B16" s="2" t="str">
        <x:v>矩阵快速幂取模</x:v>
      </x:c>
      <x:c r="C16" s="2" t="str">
        <x:v>新增11题</x:v>
      </x:c>
      <x:c r="D16" s="2" t="str">
        <x:v>二测第3次</x:v>
      </x:c>
      <x:c r="E16" s="10" t="n">
        <x:v>1500</x:v>
      </x:c>
      <x:c r="F16" s="10" t="n">
        <x:v>1200</x:v>
      </x:c>
      <x:c r="G16" s="16" t="b">
        <x:v>1</x:v>
      </x:c>
      <x:c r="H16" s="16" t="b">
        <x:v>1</x:v>
      </x:c>
      <x:c r="I16" s="17" t="b">
        <x:f>AND(G16,H16)</x:f>
        <x:v>1</x:v>
      </x:c>
      <x:c r="J16" s="10" t="n">
        <x:f>F16-E16</x:f>
        <x:v>-300</x:v>
      </x:c>
      <x:c r="K16" s="10" t="n">
        <x:f>ABS(J16)</x:f>
        <x:v>300</x:v>
      </x:c>
      <x:c r="L16" s="18" t="str">
        <x:v>R单位阵、B初始底数并按指数二进制乘入平方，依据结合律与同底数幂相加，不假设任意矩阵可交换。k=0、负余数和中途溢出已说明，模乘可逐项约简。O(n^3 log k)、O(n^2)可接受，两标签准确。</x:v>
      </x:c>
      <x:c r="M16" s="18" t="str">
        <x:v>data/evaluation/v8-second-test/review-packets/second_3.json#/items/2</x:v>
      </x:c>
    </x:row>
    <x:row r="17" ht="48" customHeight="1">
      <x:c r="A17" s="2" t="str">
        <x:v>B04</x:v>
      </x:c>
      <x:c r="B17" s="2" t="str">
        <x:v>01网格连通块查询</x:v>
      </x:c>
      <x:c r="C17" s="2" t="str">
        <x:v>新增11题</x:v>
      </x:c>
      <x:c r="D17" s="2" t="str">
        <x:v>首测</x:v>
      </x:c>
      <x:c r="E17" s="10" t="n">
        <x:v>1000</x:v>
      </x:c>
      <x:c r="F17" s="10" t="n">
        <x:v>1100</x:v>
      </x:c>
      <x:c r="G17" s="16" t="b">
        <x:v>1</x:v>
      </x:c>
      <x:c r="H17" s="16" t="b">
        <x:v>1</x:v>
      </x:c>
      <x:c r="I17" s="17" t="b">
        <x:f>AND(G17,H17)</x:f>
        <x:v>1</x:v>
      </x:c>
      <x:c r="J17" s="10" t="n">
        <x:f>F17-E17</x:f>
        <x:v>100</x:v>
      </x:c>
      <x:c r="K17" s="10" t="n">
        <x:f>ABS(J17)</x:f>
        <x:v>100</x:v>
      </x:c>
      <x:c r="L17" s="18" t="str">
        <x:v>异值四邻关系为无向可达关系，搜索对每个格子恰归入一个连通块，块编号与块大小使重复询问O(1)，总O(n^2+m)。起点计入及单点网格正确。BFS或显式栈DFS均可实现，无代码证实递归栈错误；搜索及图建模标签符合明确的备选方法。</x:v>
      </x:c>
      <x:c r="M17" s="18" t="str">
        <x:v>data/evaluation/v8-second-test/review-packets/first.json#/items/3</x:v>
      </x:c>
    </x:row>
    <x:row r="18" ht="48" customHeight="1">
      <x:c r="A18" s="2" t="str">
        <x:v>B04</x:v>
      </x:c>
      <x:c r="B18" s="2" t="str">
        <x:v>01网格连通块查询</x:v>
      </x:c>
      <x:c r="C18" s="2" t="str">
        <x:v>新增11题</x:v>
      </x:c>
      <x:c r="D18" s="2" t="str">
        <x:v>二测第1次</x:v>
      </x:c>
      <x:c r="E18" s="10" t="n">
        <x:v>1000</x:v>
      </x:c>
      <x:c r="F18" s="10" t="n">
        <x:v>1200</x:v>
      </x:c>
      <x:c r="G18" s="16" t="b">
        <x:v>1</x:v>
      </x:c>
      <x:c r="H18" s="16" t="b">
        <x:v>1</x:v>
      </x:c>
      <x:c r="I18" s="17" t="b">
        <x:f>AND(G18,H18)</x:f>
        <x:v>1</x:v>
      </x:c>
      <x:c r="J18" s="10" t="n">
        <x:f>F18-E18</x:f>
        <x:v>200</x:v>
      </x:c>
      <x:c r="K18" s="10" t="n">
        <x:f>ABS(J18)</x:f>
        <x:v>200</x:v>
      </x:c>
      <x:c r="L18" s="18" t="str">
        <x:v>异值四邻无向图预处理全部连通分量，编号及大小查询O(1)，不同格只计一次且单格大小1。明确BFS或显式栈DFS，避免深递归；总时间O(n^2+m)、空间O(n^2)可行，图建模及两个搜索标签一致。</x:v>
      </x:c>
      <x:c r="M18" s="18" t="str">
        <x:v>data/evaluation/v8-second-test/review-packets/second_1.json#/items/3</x:v>
      </x:c>
    </x:row>
    <x:row r="19" ht="64" customHeight="1">
      <x:c r="A19" s="2" t="str">
        <x:v>B04</x:v>
      </x:c>
      <x:c r="B19" s="2" t="str">
        <x:v>01网格连通块查询</x:v>
      </x:c>
      <x:c r="C19" s="2" t="str">
        <x:v>新增11题</x:v>
      </x:c>
      <x:c r="D19" s="2" t="str">
        <x:v>二测第2次</x:v>
      </x:c>
      <x:c r="E19" s="10" t="n">
        <x:v>1000</x:v>
      </x:c>
      <x:c r="F19" s="10" t="n">
        <x:v>1200</x:v>
      </x:c>
      <x:c r="G19" s="16" t="b">
        <x:v>1</x:v>
      </x:c>
      <x:c r="H19" s="16" t="b">
        <x:v>1</x:v>
      </x:c>
      <x:c r="I19" s="17" t="b">
        <x:f>AND(G19,H19)</x:f>
        <x:v>1</x:v>
      </x:c>
      <x:c r="J19" s="10" t="n">
        <x:f>F19-E19</x:f>
        <x:v>200</x:v>
      </x:c>
      <x:c r="K19" s="10" t="n">
        <x:f>ABS(J19)</x:f>
        <x:v>200</x:v>
      </x:c>
      <x:c r="L19" s="18" t="str">
        <x:v>异值四邻关系对称，可达集合等于连通分量，预处理每格编号及大小后常数回答正确。正式方法为BFS洪泛与并查集合并异色邻边，均可行且单格答案1。graph.bfs、graph.connectivity和ds.union-find覆盖正式两法，正文顺带等价DFS不强制重复标签。</x:v>
      </x:c>
      <x:c r="M19" s="18" t="str">
        <x:v>data/evaluation/v8-second-test/review-packets/second_2.json#/items/3</x:v>
      </x:c>
    </x:row>
    <x:row r="20" ht="48" customHeight="1">
      <x:c r="A20" s="2" t="str">
        <x:v>B04</x:v>
      </x:c>
      <x:c r="B20" s="2" t="str">
        <x:v>01网格连通块查询</x:v>
      </x:c>
      <x:c r="C20" s="2" t="str">
        <x:v>新增11题</x:v>
      </x:c>
      <x:c r="D20" s="2" t="str">
        <x:v>二测第3次</x:v>
      </x:c>
      <x:c r="E20" s="10" t="n">
        <x:v>1000</x:v>
      </x:c>
      <x:c r="F20" s="10" t="n">
        <x:v>1200</x:v>
      </x:c>
      <x:c r="G20" s="16" t="b">
        <x:v>1</x:v>
      </x:c>
      <x:c r="H20" s="16" t="b">
        <x:v>1</x:v>
      </x:c>
      <x:c r="I20" s="17" t="b">
        <x:f>AND(G20,H20)</x:f>
        <x:v>1</x:v>
      </x:c>
      <x:c r="J20" s="10" t="n">
        <x:f>F20-E20</x:f>
        <x:v>200</x:v>
      </x:c>
      <x:c r="K20" s="10" t="n">
        <x:f>ABS(J20)</x:f>
        <x:v>200</x:v>
      </x:c>
      <x:c r="L20" s="18" t="str">
        <x:v>迭代BFS沿异值四邻无向边完整划分连通块，各格一次入队，编号大小缓存后常数回答；全同值各1、棋盘格全连通、重复问及单格自然覆盖。O(n^2+m)可行，graph.bfs覆盖该图搜索方法，不强制重复连通性标签。</x:v>
      </x:c>
      <x:c r="M20" s="18" t="str">
        <x:v>data/evaluation/v8-second-test/review-packets/second_3.json#/items/3</x:v>
      </x:c>
    </x:row>
    <x:row r="21" ht="48" customHeight="1">
      <x:c r="A21" s="2" t="str">
        <x:v>B05</x:v>
      </x:c>
      <x:c r="B21" s="2" t="str">
        <x:v>职员宴会最大快乐指数</x:v>
      </x:c>
      <x:c r="C21" s="2" t="str">
        <x:v>新增11题</x:v>
      </x:c>
      <x:c r="D21" s="2" t="str">
        <x:v>首测</x:v>
      </x:c>
      <x:c r="E21" s="10" t="n">
        <x:v>1300</x:v>
      </x:c>
      <x:c r="F21" s="10" t="n">
        <x:v>1400</x:v>
      </x:c>
      <x:c r="G21" s="16" t="b">
        <x:v>1</x:v>
      </x:c>
      <x:c r="H21" s="16" t="b">
        <x:v>1</x:v>
      </x:c>
      <x:c r="I21" s="17" t="b">
        <x:f>AND(G21,H21)</x:f>
        <x:v>1</x:v>
      </x:c>
      <x:c r="J21" s="10" t="n">
        <x:f>F21-E21</x:f>
        <x:v>100</x:v>
      </x:c>
      <x:c r="K21" s="10" t="n">
        <x:f>ABS(J21)</x:f>
        <x:v>100</x:v>
      </x:c>
      <x:c r="L21" s="18" t="str">
        <x:v>选u时子结点只能不选，不选u时每个子树独立取两状态最大；叶子初始化允许空集，故负权及仅禁直接父子均正确。由根的两个状态取最大即目标，根可由父子关系确定，无须再展开模板细节。O(n)可行，树DP和树结构标签准确。</x:v>
      </x:c>
      <x:c r="M21" s="18" t="str">
        <x:v>data/evaluation/v8-second-test/review-packets/first.json#/items/4</x:v>
      </x:c>
    </x:row>
    <x:row r="22" ht="48" customHeight="1">
      <x:c r="A22" s="2" t="str">
        <x:v>B05</x:v>
      </x:c>
      <x:c r="B22" s="2" t="str">
        <x:v>职员宴会最大快乐指数</x:v>
      </x:c>
      <x:c r="C22" s="2" t="str">
        <x:v>新增11题</x:v>
      </x:c>
      <x:c r="D22" s="2" t="str">
        <x:v>二测第1次</x:v>
      </x:c>
      <x:c r="E22" s="10" t="n">
        <x:v>1300</x:v>
      </x:c>
      <x:c r="F22" s="10" t="n">
        <x:v>1400</x:v>
      </x:c>
      <x:c r="G22" s="16" t="b">
        <x:v>1</x:v>
      </x:c>
      <x:c r="H22" s="16" t="b">
        <x:v>1</x:v>
      </x:c>
      <x:c r="I22" s="17" t="b">
        <x:f>AND(G22,H22)</x:f>
        <x:v>1</x:v>
      </x:c>
      <x:c r="J22" s="10" t="n">
        <x:f>F22-E22</x:f>
        <x:v>100</x:v>
      </x:c>
      <x:c r="K22" s="10" t="n">
        <x:f>ABS(J22)</x:f>
        <x:v>100</x:v>
      </x:c>
      <x:c r="L22" s="18" t="str">
        <x:v>两状态转移只禁直接父子同时选，子树条件独立；叶子不选0、选自身权重，根取最大允许空集并明确找无上司根及n=1。O(n)可行，树DP与树结构标签准确。</x:v>
      </x:c>
      <x:c r="M22" s="18" t="str">
        <x:v>data/evaluation/v8-second-test/review-packets/second_1.json#/items/4</x:v>
      </x:c>
    </x:row>
    <x:row r="23" ht="48" customHeight="1">
      <x:c r="A23" s="2" t="str">
        <x:v>B05</x:v>
      </x:c>
      <x:c r="B23" s="2" t="str">
        <x:v>职员宴会最大快乐指数</x:v>
      </x:c>
      <x:c r="C23" s="2" t="str">
        <x:v>新增11题</x:v>
      </x:c>
      <x:c r="D23" s="2" t="str">
        <x:v>二测第2次</x:v>
      </x:c>
      <x:c r="E23" s="10" t="n">
        <x:v>1300</x:v>
      </x:c>
      <x:c r="F23" s="10" t="n">
        <x:v>1200</x:v>
      </x:c>
      <x:c r="G23" s="16" t="b">
        <x:v>1</x:v>
      </x:c>
      <x:c r="H23" s="16" t="b">
        <x:v>1</x:v>
      </x:c>
      <x:c r="I23" s="17" t="b">
        <x:f>AND(G23,H23)</x:f>
        <x:v>1</x:v>
      </x:c>
      <x:c r="J23" s="10" t="n">
        <x:f>F23-E23</x:f>
        <x:v>-100</x:v>
      </x:c>
      <x:c r="K23" s="10" t="n">
        <x:f>ABS(J23)</x:f>
        <x:v>100</x:v>
      </x:c>
      <x:c r="L23" s="18" t="str">
        <x:v>选不选状态、初始0/权值、两种对子转移及后序合并完整，只禁相邻父子，负权允许空集；根由无上司关系确定，不假设根1。根两态取最大与目标一致，O(n)可行，dp.tree与树基础标签准确。</x:v>
      </x:c>
      <x:c r="M23" s="18" t="str">
        <x:v>data/evaluation/v8-second-test/review-packets/second_2.json#/items/4</x:v>
      </x:c>
    </x:row>
    <x:row r="24" ht="48" customHeight="1">
      <x:c r="A24" s="2" t="str">
        <x:v>B05</x:v>
      </x:c>
      <x:c r="B24" s="2" t="str">
        <x:v>职员宴会最大快乐指数</x:v>
      </x:c>
      <x:c r="C24" s="2" t="str">
        <x:v>新增11题</x:v>
      </x:c>
      <x:c r="D24" s="2" t="str">
        <x:v>二测第3次</x:v>
      </x:c>
      <x:c r="E24" s="10" t="n">
        <x:v>1300</x:v>
      </x:c>
      <x:c r="F24" s="10" t="n">
        <x:v>1400</x:v>
      </x:c>
      <x:c r="G24" s="16" t="b">
        <x:v>1</x:v>
      </x:c>
      <x:c r="H24" s="16" t="b">
        <x:v>1</x:v>
      </x:c>
      <x:c r="I24" s="17" t="b">
        <x:f>AND(G24,H24)</x:f>
        <x:v>1</x:v>
      </x:c>
      <x:c r="J24" s="10" t="n">
        <x:f>F24-E24</x:f>
        <x:v>100</x:v>
      </x:c>
      <x:c r="K24" s="10" t="n">
        <x:f>ABS(J24)</x:f>
        <x:v>100</x:v>
      </x:c>
      <x:c r="L24" s="18" t="str">
        <x:v>选u时子不选，不选u时各子取两态最大，叶子0/权值后序合并，根两态取max。根由无父节点确定、全负允许空集0；O(n)可行，树DP、树基础及明确后序DFS标签均实际使用。</x:v>
      </x:c>
      <x:c r="M24" s="18" t="str">
        <x:v>data/evaluation/v8-second-test/review-packets/second_3.json#/items/4</x:v>
      </x:c>
    </x:row>
    <x:row r="25" ht="48" customHeight="1">
      <x:c r="A25" s="2" t="str">
        <x:v>B06</x:v>
      </x:c>
      <x:c r="B25" s="2" t="str">
        <x:v>商店价格预算计数</x:v>
      </x:c>
      <x:c r="C25" s="2" t="str">
        <x:v>回归9题</x:v>
      </x:c>
      <x:c r="D25" s="2" t="str">
        <x:v>首测</x:v>
      </x:c>
      <x:c r="E25" s="10" t="n">
        <x:v>1100</x:v>
      </x:c>
      <x:c r="F25" s="10" t="n">
        <x:v>1100</x:v>
      </x:c>
      <x:c r="G25" s="16" t="b">
        <x:v>1</x:v>
      </x:c>
      <x:c r="H25" s="16" t="b">
        <x:v>1</x:v>
      </x:c>
      <x:c r="I25" s="17" t="b">
        <x:f>AND(G25,H25)</x:f>
        <x:v>1</x:v>
      </x:c>
      <x:c r="J25" s="10" t="n">
        <x:f>F25-E25</x:f>
        <x:v>0</x:v>
      </x:c>
      <x:c r="K25" s="10" t="n">
        <x:f>ABS(J25)</x:f>
        <x:v>0</x:v>
      </x:c>
      <x:c r="L25" s="18" t="str">
        <x:v>排序保持价格多重集合，最后一个不超过m的位置加一恰为可负担商店数；预算小于最小值与大于最大值分别返回0、n，重复价格也按元素计数。排序加逐查询二分可行，两标签对应所述方法。</x:v>
      </x:c>
      <x:c r="M25" s="18" t="str">
        <x:v>data/evaluation/v8-second-test/review-packets/first.json#/items/5</x:v>
      </x:c>
    </x:row>
    <x:row r="26" ht="48" customHeight="1">
      <x:c r="A26" s="2" t="str">
        <x:v>B06</x:v>
      </x:c>
      <x:c r="B26" s="2" t="str">
        <x:v>商店价格预算计数</x:v>
      </x:c>
      <x:c r="C26" s="2" t="str">
        <x:v>回归9题</x:v>
      </x:c>
      <x:c r="D26" s="2" t="str">
        <x:v>二测第1次</x:v>
      </x:c>
      <x:c r="E26" s="10" t="n">
        <x:v>1100</x:v>
      </x:c>
      <x:c r="F26" s="10" t="n">
        <x:v>1100</x:v>
      </x:c>
      <x:c r="G26" s="16" t="b">
        <x:v>1</x:v>
      </x:c>
      <x:c r="H26" s="16" t="b">
        <x:v>1</x:v>
      </x:c>
      <x:c r="I26" s="17" t="b">
        <x:f>AND(G26,H26)</x:f>
        <x:v>1</x:v>
      </x:c>
      <x:c r="J26" s="10" t="n">
        <x:f>F26-E26</x:f>
        <x:v>0</x:v>
      </x:c>
      <x:c r="K26" s="10" t="n">
        <x:f>ABS(J26)</x:f>
        <x:v>0</x:v>
      </x:c>
      <x:c r="L26" s="18" t="str">
        <x:v>排序后找首个大于预算位置即含等号计数，保留重复价格并处理0/n答案。频数前缀和备选利用V=10^5，预算越界直接n；两种复杂度可行，排序、二分、前缀和并集恰当。</x:v>
      </x:c>
      <x:c r="M26" s="18" t="str">
        <x:v>data/evaluation/v8-second-test/review-packets/second_1.json#/items/5</x:v>
      </x:c>
    </x:row>
    <x:row r="27" ht="48" customHeight="1">
      <x:c r="A27" s="2" t="str">
        <x:v>B06</x:v>
      </x:c>
      <x:c r="B27" s="2" t="str">
        <x:v>商店价格预算计数</x:v>
      </x:c>
      <x:c r="C27" s="2" t="str">
        <x:v>回归9题</x:v>
      </x:c>
      <x:c r="D27" s="2" t="str">
        <x:v>二测第2次</x:v>
      </x:c>
      <x:c r="E27" s="10" t="n">
        <x:v>1100</x:v>
      </x:c>
      <x:c r="F27" s="10" t="n">
        <x:v>800</x:v>
      </x:c>
      <x:c r="G27" s="16" t="b">
        <x:v>1</x:v>
      </x:c>
      <x:c r="H27" s="16" t="b">
        <x:v>1</x:v>
      </x:c>
      <x:c r="I27" s="17" t="b">
        <x:f>AND(G27,H27)</x:f>
        <x:v>1</x:v>
      </x:c>
      <x:c r="J27" s="10" t="n">
        <x:f>F27-E27</x:f>
        <x:v>-300</x:v>
      </x:c>
      <x:c r="K27" s="10" t="n">
        <x:f>ABS(J27)</x:f>
        <x:v>300</x:v>
      </x:c>
      <x:c r="L27" s="18" t="str">
        <x:v>频数cnt保存相同价格的所有商店，pref[m]对应&lt;=m且超过10^5返回n，预算不足自然0。排序二分上界备选含等号且独立询问正确，两种复杂度可行。basic.use-of-sort为排序应用，配binary/prefix-sum与方法一致。</x:v>
      </x:c>
      <x:c r="M27" s="18" t="str">
        <x:v>data/evaluation/v8-second-test/review-packets/second_2.json#/items/5</x:v>
      </x:c>
    </x:row>
    <x:row r="28" ht="80" customHeight="1">
      <x:c r="A28" s="2" t="str">
        <x:v>B06</x:v>
      </x:c>
      <x:c r="B28" s="2" t="str">
        <x:v>商店价格预算计数</x:v>
      </x:c>
      <x:c r="C28" s="2" t="str">
        <x:v>回归9题</x:v>
      </x:c>
      <x:c r="D28" s="2" t="str">
        <x:v>二测第3次</x:v>
      </x:c>
      <x:c r="E28" s="10" t="n">
        <x:v>1100</x:v>
      </x:c>
      <x:c r="F28" s="10" t="n">
        <x:v>1100</x:v>
      </x:c>
      <x:c r="G28" s="16" t="b">
        <x:v>0</x:v>
      </x:c>
      <x:c r="H28" s="16" t="b">
        <x:v>1</x:v>
      </x:c>
      <x:c r="I28" s="17" t="b">
        <x:f>AND(G28,H28)</x:f>
        <x:v>0</x:v>
      </x:c>
      <x:c r="J28" s="10" t="n">
        <x:f>F28-E28</x:f>
        <x:v>0</x:v>
      </x:c>
      <x:c r="K28" s="10" t="n">
        <x:f>ABS(J28)</x:f>
        <x:v>0</x:v>
      </x:c>
      <x:c r="L28" s="18" t="str">
        <x:v>频数前缀和保留重复商店、预算超过V直接n，排序二分上界备选也正确，时间空间可行，故solution=true。但basic.counting-sort多标：当前data/knowledge_taxonomy.json:321-325定义为统计次数后按值从小到大输出，用于整数排序；本输出只做累计计数，没有重建或输出有序序列。prefix-sum/use-of-sort/binary正确不能消除这一多标，故tags及joint=false。</x:v>
      </x:c>
      <x:c r="M28" s="18" t="str">
        <x:v>data/evaluation/v8-second-test/review-packets/second_3.json#/items/5</x:v>
      </x:c>
    </x:row>
    <x:row r="29" ht="64" customHeight="1">
      <x:c r="A29" s="2" t="str">
        <x:v>B07</x:v>
      </x:c>
      <x:c r="B29" s="2" t="str">
        <x:v>统计在文本中出现过的模式串编号数</x:v>
      </x:c>
      <x:c r="C29" s="2" t="str">
        <x:v>回归9题</x:v>
      </x:c>
      <x:c r="D29" s="2" t="str">
        <x:v>首测</x:v>
      </x:c>
      <x:c r="E29" s="10" t="n">
        <x:v>1700</x:v>
      </x:c>
      <x:c r="F29" s="10" t="n">
        <x:v>1700</x:v>
      </x:c>
      <x:c r="G29" s="16" t="b">
        <x:v>1</x:v>
      </x:c>
      <x:c r="H29" s="16" t="b">
        <x:v>0</x:v>
      </x:c>
      <x:c r="I29" s="17" t="b">
        <x:f>AND(G29,H29)</x:f>
        <x:v>0</x:v>
      </x:c>
      <x:c r="J29" s="10" t="n">
        <x:f>F29-E29</x:f>
        <x:v>0</x:v>
      </x:c>
      <x:c r="K29" s="10" t="n">
        <x:f>ABS(J29)</x:f>
        <x:v>0</x:v>
      </x:c>
      <x:c r="L29" s="18" t="str">
        <x:v>AC加fail树上传标记的主线、复杂度与AC/Trie/DFS标签均合理，完整编号集合也能保留重复模式。但原文另声称“或只记录一个代表编号”，未附终点编号数量或重复编号映射。模式a,a、文本a时只标一个代表只能得到1，要求为2；后续要求重复编号分别计未说明如何恢复已丢信息。全部声称备选都须成立，故solution=false。</x:v>
      </x:c>
      <x:c r="M29" s="18" t="str">
        <x:v>data/evaluation/v8-second-test/review-packets/first.json#/items/6</x:v>
      </x:c>
    </x:row>
    <x:row r="30" ht="48" customHeight="1">
      <x:c r="A30" s="2" t="str">
        <x:v>B07</x:v>
      </x:c>
      <x:c r="B30" s="2" t="str">
        <x:v>统计在文本中出现过的模式串编号数</x:v>
      </x:c>
      <x:c r="C30" s="2" t="str">
        <x:v>回归9题</x:v>
      </x:c>
      <x:c r="D30" s="2" t="str">
        <x:v>二测第1次</x:v>
      </x:c>
      <x:c r="E30" s="10" t="n">
        <x:v>1700</x:v>
      </x:c>
      <x:c r="F30" s="10" t="n">
        <x:v>1800</x:v>
      </x:c>
      <x:c r="G30" s="16" t="b">
        <x:v>1</x:v>
      </x:c>
      <x:c r="H30" s="16" t="b">
        <x:v>1</x:v>
      </x:c>
      <x:c r="I30" s="17" t="b">
        <x:f>AND(G30,H30)</x:f>
        <x:v>1</x:v>
      </x:c>
      <x:c r="J30" s="10" t="n">
        <x:f>F30-E30</x:f>
        <x:v>100</x:v>
      </x:c>
      <x:c r="K30" s="10" t="n">
        <x:f>ABS(J30)</x:f>
        <x:v>100</x:v>
      </x:c>
      <x:c r="L30" s="18" t="str">
        <x:v>终点数量保留重复模式，扫描仅标到达状态，BFS逆序向fail父传播后每个标记终点只累加一次数量。a,a配a得2；a,aa,aaa配aaaa得3；he,she配she得2。无需每位置扫全fail链，固定26字母因子线性可行；AC标签覆盖主线。</x:v>
      </x:c>
      <x:c r="M30" s="18" t="str">
        <x:v>data/evaluation/v8-second-test/review-packets/second_1.json#/items/6</x:v>
      </x:c>
    </x:row>
    <x:row r="31" ht="48" customHeight="1">
      <x:c r="A31" s="2" t="str">
        <x:v>B07</x:v>
      </x:c>
      <x:c r="B31" s="2" t="str">
        <x:v>统计在文本中出现过的模式串编号数</x:v>
      </x:c>
      <x:c r="C31" s="2" t="str">
        <x:v>回归9题</x:v>
      </x:c>
      <x:c r="D31" s="2" t="str">
        <x:v>二测第2次</x:v>
      </x:c>
      <x:c r="E31" s="10" t="n">
        <x:v>1700</x:v>
      </x:c>
      <x:c r="F31" s="10" t="n">
        <x:v>1900</x:v>
      </x:c>
      <x:c r="G31" s="16" t="b">
        <x:v>1</x:v>
      </x:c>
      <x:c r="H31" s="16" t="b">
        <x:v>1</x:v>
      </x:c>
      <x:c r="I31" s="17" t="b">
        <x:f>AND(G31,H31)</x:f>
        <x:v>1</x:v>
      </x:c>
      <x:c r="J31" s="10" t="n">
        <x:f>F31-E31</x:f>
        <x:v>200</x:v>
      </x:c>
      <x:c r="K31" s="10" t="n">
        <x:f>ABS(J31)</x:f>
        <x:v>200</x:v>
      </x:c>
      <x:c r="L31" s="18" t="str">
        <x:v>Trie终点存编号数量保留重复，文本到达状态标记后按逆BFS向fail父传播，终点标记当且仅当其fail子树曾被到达。每终点权重只累加一次，重复a,a配a为2，he与she后缀均覆盖。固定26转移规模可行，AC及Trie标签准确。</x:v>
      </x:c>
      <x:c r="M31" s="18" t="str">
        <x:v>data/evaluation/v8-second-test/review-packets/second_2.json#/items/6</x:v>
      </x:c>
    </x:row>
    <x:row r="32" ht="64" customHeight="1">
      <x:c r="A32" s="2" t="str">
        <x:v>B07</x:v>
      </x:c>
      <x:c r="B32" s="2" t="str">
        <x:v>统计在文本中出现过的模式串编号数</x:v>
      </x:c>
      <x:c r="C32" s="2" t="str">
        <x:v>回归9题</x:v>
      </x:c>
      <x:c r="D32" s="2" t="str">
        <x:v>二测第3次</x:v>
      </x:c>
      <x:c r="E32" s="10" t="n">
        <x:v>1700</x:v>
      </x:c>
      <x:c r="F32" s="10" t="n">
        <x:v>1800</x:v>
      </x:c>
      <x:c r="G32" s="16" t="b">
        <x:v>1</x:v>
      </x:c>
      <x:c r="H32" s="16" t="b">
        <x:v>1</x:v>
      </x:c>
      <x:c r="I32" s="17" t="b">
        <x:f>AND(G32,H32)</x:f>
        <x:v>1</x:v>
      </x:c>
      <x:c r="J32" s="10" t="n">
        <x:f>F32-E32</x:f>
        <x:v>100</x:v>
      </x:c>
      <x:c r="K32" s="10" t="n">
        <x:f>ABS(J32)</x:f>
        <x:v>100</x:v>
      </x:c>
      <x:c r="L32" s="18" t="str">
        <x:v>AC记录每编号终点，文本到达状态做逆BFS fail上传，逐编号查终点故重复串不丢计数，每编号仅一次，固定26转移可行。SAM备选建于文本，从初态完整走通模式当且仅当为子串，逐编号累计且总匹配长度S，O(|t|+S)可行。AC、Trie、fail构建队列及SAM标签对应两法。</x:v>
      </x:c>
      <x:c r="M32" s="18" t="str">
        <x:v>data/evaluation/v8-second-test/review-packets/second_3.json#/items/6</x:v>
      </x:c>
    </x:row>
    <x:row r="33" ht="48" customHeight="1">
      <x:c r="A33" s="2" t="str">
        <x:v>B08</x:v>
      </x:c>
      <x:c r="B33" s="2" t="str">
        <x:v>二分图最大匹配</x:v>
      </x:c>
      <x:c r="C33" s="2" t="str">
        <x:v>新增11题</x:v>
      </x:c>
      <x:c r="D33" s="2" t="str">
        <x:v>首测</x:v>
      </x:c>
      <x:c r="E33" s="10" t="n">
        <x:v>1500</x:v>
      </x:c>
      <x:c r="F33" s="10" t="n">
        <x:v>1400</x:v>
      </x:c>
      <x:c r="G33" s="16" t="b">
        <x:v>1</x:v>
      </x:c>
      <x:c r="H33" s="16" t="b">
        <x:v>1</x:v>
      </x:c>
      <x:c r="I33" s="17" t="b">
        <x:f>AND(G33,H33)</x:f>
        <x:v>1</x:v>
      </x:c>
      <x:c r="J33" s="10" t="n">
        <x:f>F33-E33</x:f>
        <x:v>-100</x:v>
      </x:c>
      <x:c r="K33" s="10" t="n">
        <x:f>ABS(J33)</x:f>
        <x:v>100</x:v>
      </x:c>
      <x:c r="L33" s="18" t="str">
        <x:v>明确使用逐左点DFS增广路、match[v]保存右点匹配及本轮vis[v]；增广沿已有匹配重排并使数量加一，Berge定理支撑最大性。算法级说明无需展开代码。重边不增加容量，左右部另行编号，O(n e)可行；匹配与DFS标签准确。</x:v>
      </x:c>
      <x:c r="M33" s="18" t="str">
        <x:v>data/evaluation/v8-second-test/review-packets/first.json#/items/7</x:v>
      </x:c>
    </x:row>
    <x:row r="34" ht="48" customHeight="1">
      <x:c r="A34" s="2" t="str">
        <x:v>B08</x:v>
      </x:c>
      <x:c r="B34" s="2" t="str">
        <x:v>二分图最大匹配</x:v>
      </x:c>
      <x:c r="C34" s="2" t="str">
        <x:v>新增11题</x:v>
      </x:c>
      <x:c r="D34" s="2" t="str">
        <x:v>二测第1次</x:v>
      </x:c>
      <x:c r="E34" s="10" t="n">
        <x:v>1500</x:v>
      </x:c>
      <x:c r="F34" s="10" t="n">
        <x:v>1700</x:v>
      </x:c>
      <x:c r="G34" s="16" t="b">
        <x:v>1</x:v>
      </x:c>
      <x:c r="H34" s="16" t="b">
        <x:v>1</x:v>
      </x:c>
      <x:c r="I34" s="17" t="b">
        <x:f>AND(G34,H34)</x:f>
        <x:v>1</x:v>
      </x:c>
      <x:c r="J34" s="10" t="n">
        <x:f>F34-E34</x:f>
        <x:v>200</x:v>
      </x:c>
      <x:c r="K34" s="10" t="n">
        <x:f>ABS(J34)</x:f>
        <x:v>200</x:v>
      </x:c>
      <x:c r="L34" s="18" t="str">
        <x:v>说明交错增广路径及翻转匹配，每次增加1，增广路定理保证最大值，左右部及重边处理正确。DFS匈牙利O(nE)与BFS分层/DFS批量增广Hopcroft-Karp O(E sqrt(V))均可行；匹配、DFS、BFS对应方法并集。</x:v>
      </x:c>
      <x:c r="M34" s="18" t="str">
        <x:v>data/evaluation/v8-second-test/review-packets/second_1.json#/items/7</x:v>
      </x:c>
    </x:row>
    <x:row r="35" ht="48" customHeight="1">
      <x:c r="A35" s="2" t="str">
        <x:v>B08</x:v>
      </x:c>
      <x:c r="B35" s="2" t="str">
        <x:v>二分图最大匹配</x:v>
      </x:c>
      <x:c r="C35" s="2" t="str">
        <x:v>新增11题</x:v>
      </x:c>
      <x:c r="D35" s="2" t="str">
        <x:v>二测第2次</x:v>
      </x:c>
      <x:c r="E35" s="10" t="n">
        <x:v>1500</x:v>
      </x:c>
      <x:c r="F35" s="10" t="n">
        <x:v>1500</x:v>
      </x:c>
      <x:c r="G35" s="16" t="b">
        <x:v>1</x:v>
      </x:c>
      <x:c r="H35" s="16" t="b">
        <x:v>1</x:v>
      </x:c>
      <x:c r="I35" s="17" t="b">
        <x:f>AND(G35,H35)</x:f>
        <x:v>1</x:v>
      </x:c>
      <x:c r="J35" s="10" t="n">
        <x:f>F35-E35</x:f>
        <x:v>0</x:v>
      </x:c>
      <x:c r="K35" s="10" t="n">
        <x:f>ABS(J35)</x:f>
        <x:v>0</x:v>
      </x:c>
      <x:c r="L35" s="18" t="str">
        <x:v>右侧match记录配对，逐左点找增广路并翻转，明确遇已占右点让原左点改配；增广定理保证无路时最大。访问标记在空间说明出现，未展开代码不臆测跨轮不清空。重边孤点合理，O(n e)可行，匹配与DFS对应。</x:v>
      </x:c>
      <x:c r="M35" s="18" t="str">
        <x:v>data/evaluation/v8-second-test/review-packets/second_2.json#/items/7</x:v>
      </x:c>
    </x:row>
    <x:row r="36" ht="48" customHeight="1">
      <x:c r="A36" s="2" t="str">
        <x:v>B08</x:v>
      </x:c>
      <x:c r="B36" s="2" t="str">
        <x:v>二分图最大匹配</x:v>
      </x:c>
      <x:c r="C36" s="2" t="str">
        <x:v>新增11题</x:v>
      </x:c>
      <x:c r="D36" s="2" t="str">
        <x:v>二测第3次</x:v>
      </x:c>
      <x:c r="E36" s="10" t="n">
        <x:v>1500</x:v>
      </x:c>
      <x:c r="F36" s="10" t="n">
        <x:v>1400</x:v>
      </x:c>
      <x:c r="G36" s="16" t="b">
        <x:v>1</x:v>
      </x:c>
      <x:c r="H36" s="16" t="b">
        <x:v>1</x:v>
      </x:c>
      <x:c r="I36" s="17" t="b">
        <x:f>AND(G36,H36)</x:f>
        <x:v>1</x:v>
      </x:c>
      <x:c r="J36" s="10" t="n">
        <x:f>F36-E36</x:f>
        <x:v>-100</x:v>
      </x:c>
      <x:c r="K36" s="10" t="n">
        <x:f>ABS(J36)</x:f>
        <x:v>100</x:v>
      </x:c>
      <x:c r="L36" s="18" t="str">
        <x:v>空匹配逐左点增广，明确每轮清右访问标记，未匹配右点成功否则递归使原左点改配，成功翻转增加1。增广定理保证最大，重边不增容量，左右编号及孤点正确。O(n(n+m+e))可行，二分图、匹配及DFS标签恰当。</x:v>
      </x:c>
      <x:c r="M36" s="18" t="str">
        <x:v>data/evaluation/v8-second-test/review-packets/second_3.json#/items/7</x:v>
      </x:c>
    </x:row>
    <x:row r="37" ht="48" customHeight="1">
      <x:c r="A37" s="2" t="str">
        <x:v>B09</x:v>
      </x:c>
      <x:c r="B37" s="2" t="str">
        <x:v>环形石子合并的最小与最大得分</x:v>
      </x:c>
      <x:c r="C37" s="2" t="str">
        <x:v>新增11题</x:v>
      </x:c>
      <x:c r="D37" s="2" t="str">
        <x:v>首测</x:v>
      </x:c>
      <x:c r="E37" s="10" t="n">
        <x:v>1400</x:v>
      </x:c>
      <x:c r="F37" s="10" t="n">
        <x:v>1500</x:v>
      </x:c>
      <x:c r="G37" s="16" t="b">
        <x:v>1</x:v>
      </x:c>
      <x:c r="H37" s="16" t="b">
        <x:v>1</x:v>
      </x:c>
      <x:c r="I37" s="17" t="b">
        <x:f>AND(G37,H37)</x:f>
        <x:v>1</x:v>
      </x:c>
      <x:c r="J37" s="10" t="n">
        <x:f>F37-E37</x:f>
        <x:v>100</x:v>
      </x:c>
      <x:c r="K37" s="10" t="n">
        <x:f>ABS(J37)</x:f>
        <x:v>100</x:v>
      </x:c>
      <x:c r="L37" s="18" t="str">
        <x:v>倍长后枚举全部N个切口，区间长度由小到大、单点代价0，最后合并划分枚举k同时求最小最大，加上整段和的转移正确。N=1和零石子边界明确，O(N^3)对N不超过100可行；区间DP与前缀和标签完整。</x:v>
      </x:c>
      <x:c r="M37" s="18" t="str">
        <x:v>data/evaluation/v8-second-test/review-packets/first.json#/items/8</x:v>
      </x:c>
    </x:row>
    <x:row r="38" ht="48" customHeight="1">
      <x:c r="A38" s="2" t="str">
        <x:v>B09</x:v>
      </x:c>
      <x:c r="B38" s="2" t="str">
        <x:v>环形石子合并的最小与最大得分</x:v>
      </x:c>
      <x:c r="C38" s="2" t="str">
        <x:v>新增11题</x:v>
      </x:c>
      <x:c r="D38" s="2" t="str">
        <x:v>二测第1次</x:v>
      </x:c>
      <x:c r="E38" s="10" t="n">
        <x:v>1400</x:v>
      </x:c>
      <x:c r="F38" s="10" t="n">
        <x:v>1500</x:v>
      </x:c>
      <x:c r="G38" s="16" t="b">
        <x:v>1</x:v>
      </x:c>
      <x:c r="H38" s="16" t="b">
        <x:v>1</x:v>
      </x:c>
      <x:c r="I38" s="17" t="b">
        <x:f>AND(G38,H38)</x:f>
        <x:v>1</x:v>
      </x:c>
      <x:c r="J38" s="10" t="n">
        <x:f>F38-E38</x:f>
        <x:v>100</x:v>
      </x:c>
      <x:c r="K38" s="10" t="n">
        <x:f>ABS(J38)</x:f>
        <x:v>100</x:v>
      </x:c>
      <x:c r="L38" s="18" t="str">
        <x:v>倍长后枚举所有长度N区间覆盖全部切口，最后合并分裂为相邻两段，最小最大分别转移并加整段和。单堆无需操作为0，零石子不破坏转移；前缀和常数求和，O(N^3)可行，两标签准确。</x:v>
      </x:c>
      <x:c r="M38" s="18" t="str">
        <x:v>data/evaluation/v8-second-test/review-packets/second_1.json#/items/8</x:v>
      </x:c>
    </x:row>
    <x:row r="39" ht="48" customHeight="1">
      <x:c r="A39" s="2" t="str">
        <x:v>B09</x:v>
      </x:c>
      <x:c r="B39" s="2" t="str">
        <x:v>环形石子合并的最小与最大得分</x:v>
      </x:c>
      <x:c r="C39" s="2" t="str">
        <x:v>新增11题</x:v>
      </x:c>
      <x:c r="D39" s="2" t="str">
        <x:v>二测第2次</x:v>
      </x:c>
      <x:c r="E39" s="10" t="n">
        <x:v>1400</x:v>
      </x:c>
      <x:c r="F39" s="10" t="n">
        <x:v>1500</x:v>
      </x:c>
      <x:c r="G39" s="16" t="b">
        <x:v>1</x:v>
      </x:c>
      <x:c r="H39" s="16" t="b">
        <x:v>1</x:v>
      </x:c>
      <x:c r="I39" s="17" t="b">
        <x:f>AND(G39,H39)</x:f>
        <x:v>1</x:v>
      </x:c>
      <x:c r="J39" s="10" t="n">
        <x:f>F39-E39</x:f>
        <x:v>100</x:v>
      </x:c>
      <x:c r="K39" s="10" t="n">
        <x:f>ABS(J39)</x:f>
        <x:v>100</x:v>
      </x:c>
      <x:c r="L39" s="18" t="str">
        <x:v>两倍数组各长度N区间覆盖环切口，最后分界两子区间独立最优，分别min/max并加整段和正确。N=1无操作为0、零石子不影响；前缀和保持O(N^3)时间与O(N^2)空间，区间DP和前缀和标签相符。</x:v>
      </x:c>
      <x:c r="M39" s="18" t="str">
        <x:v>data/evaluation/v8-second-test/review-packets/second_2.json#/items/8</x:v>
      </x:c>
    </x:row>
    <x:row r="40" ht="48" customHeight="1">
      <x:c r="A40" s="2" t="str">
        <x:v>B09</x:v>
      </x:c>
      <x:c r="B40" s="2" t="str">
        <x:v>环形石子合并的最小与最大得分</x:v>
      </x:c>
      <x:c r="C40" s="2" t="str">
        <x:v>新增11题</x:v>
      </x:c>
      <x:c r="D40" s="2" t="str">
        <x:v>二测第3次</x:v>
      </x:c>
      <x:c r="E40" s="10" t="n">
        <x:v>1400</x:v>
      </x:c>
      <x:c r="F40" s="10" t="n">
        <x:v>1500</x:v>
      </x:c>
      <x:c r="G40" s="16" t="b">
        <x:v>1</x:v>
      </x:c>
      <x:c r="H40" s="16" t="b">
        <x:v>1</x:v>
      </x:c>
      <x:c r="I40" s="17" t="b">
        <x:f>AND(G40,H40)</x:f>
        <x:v>1</x:v>
      </x:c>
      <x:c r="J40" s="10" t="n">
        <x:f>F40-E40</x:f>
        <x:v>100</x:v>
      </x:c>
      <x:c r="K40" s="10" t="n">
        <x:f>ABS(J40)</x:f>
        <x:v>100</x:v>
      </x:c>
      <x:c r="L40" s="18" t="str">
        <x:v>断环倍长后取全部长度N区间，枚举最后合并点并加整段和，同时min/max，单堆初始0明确。N=1及全零均0，最后合并连续子区间覆盖合法合并树。O(N^3)/O(N^2)可行，区间DP与前缀和标签准确。</x:v>
      </x:c>
      <x:c r="M40" s="18" t="str">
        <x:v>data/evaluation/v8-second-test/review-packets/second_3.json#/items/8</x:v>
      </x:c>
    </x:row>
    <x:row r="41" ht="64" customHeight="1">
      <x:c r="A41" s="2" t="str">
        <x:v>B10</x:v>
      </x:c>
      <x:c r="B41" s="2" t="str">
        <x:v>乘二减一最少操作</x:v>
      </x:c>
      <x:c r="C41" s="2" t="str">
        <x:v>回归9题</x:v>
      </x:c>
      <x:c r="D41" s="2" t="str">
        <x:v>首测</x:v>
      </x:c>
      <x:c r="E41" s="10" t="n">
        <x:v>1400</x:v>
      </x:c>
      <x:c r="F41" s="10" t="n">
        <x:v>1200</x:v>
      </x:c>
      <x:c r="G41" s="16" t="b">
        <x:v>1</x:v>
      </x:c>
      <x:c r="H41" s="16" t="b">
        <x:v>0</x:v>
      </x:c>
      <x:c r="I41" s="17" t="b">
        <x:f>AND(G41,H41)</x:f>
        <x:v>0</x:v>
      </x:c>
      <x:c r="J41" s="10" t="n">
        <x:f>F41-E41</x:f>
        <x:v>-200</x:v>
      </x:c>
      <x:c r="K41" s="10" t="n">
        <x:f>ABS(J41)</x:f>
        <x:v>200</x:v>
      </x:c>
      <x:c r="L41" s="18" t="str">
        <x:v>BFS和状态图标签与声称方法相符，但未分n&gt;=m就将状态域固定为[1,2m]。题面样例n=10,m=1时域为[1,2]，起点10不在域中，无法运行其定义的起点到终点BFS；真实最优为连续减一9步。文本既无直接相减分支也无含起点的界，故solution=false。</x:v>
      </x:c>
      <x:c r="M41" s="18" t="str">
        <x:v>data/evaluation/v8-second-test/review-packets/first.json#/items/9</x:v>
      </x:c>
    </x:row>
    <x:row r="42" ht="48" customHeight="1">
      <x:c r="A42" s="2" t="str">
        <x:v>B10</x:v>
      </x:c>
      <x:c r="B42" s="2" t="str">
        <x:v>乘二减一最少操作</x:v>
      </x:c>
      <x:c r="C42" s="2" t="str">
        <x:v>回归9题</x:v>
      </x:c>
      <x:c r="D42" s="2" t="str">
        <x:v>二测第1次</x:v>
      </x:c>
      <x:c r="E42" s="10" t="n">
        <x:v>1400</x:v>
      </x:c>
      <x:c r="F42" s="10" t="n">
        <x:v>1400</x:v>
      </x:c>
      <x:c r="G42" s="16" t="b">
        <x:v>1</x:v>
      </x:c>
      <x:c r="H42" s="16" t="b">
        <x:v>1</x:v>
      </x:c>
      <x:c r="I42" s="17" t="b">
        <x:f>AND(G42,H42)</x:f>
        <x:v>1</x:v>
      </x:c>
      <x:c r="J42" s="10" t="n">
        <x:f>F42-E42</x:f>
        <x:v>0</x:v>
      </x:c>
      <x:c r="K42" s="10" t="n">
        <x:f>ABS(J42)</x:f>
        <x:v>0</x:v>
      </x:c>
      <x:c r="L42" s="18" t="str">
        <x:v>逆操作为偶数除2和加1；x&gt;n奇数须加1，偶数用交换论证立即除2不劣，x&lt;=n后补差值。n&gt;m因而直接n-m，修复首测缺口。每至多两步下降约一半，O(log m)成立且保持正值，贪心标签准确。</x:v>
      </x:c>
      <x:c r="M42" s="18" t="str">
        <x:v>data/evaluation/v8-second-test/review-packets/second_1.json#/items/9</x:v>
      </x:c>
    </x:row>
    <x:row r="43" ht="48" customHeight="1">
      <x:c r="A43" s="2" t="str">
        <x:v>B10</x:v>
      </x:c>
      <x:c r="B43" s="2" t="str">
        <x:v>乘二减一最少操作</x:v>
      </x:c>
      <x:c r="C43" s="2" t="str">
        <x:v>回归9题</x:v>
      </x:c>
      <x:c r="D43" s="2" t="str">
        <x:v>二测第2次</x:v>
      </x:c>
      <x:c r="E43" s="10" t="n">
        <x:v>1400</x:v>
      </x:c>
      <x:c r="F43" s="10" t="n">
        <x:v>1400</x:v>
      </x:c>
      <x:c r="G43" s="16" t="b">
        <x:v>1</x:v>
      </x:c>
      <x:c r="H43" s="16" t="b">
        <x:v>1</x:v>
      </x:c>
      <x:c r="I43" s="17" t="b">
        <x:f>AND(G43,H43)</x:f>
        <x:v>1</x:v>
      </x:c>
      <x:c r="J43" s="10" t="n">
        <x:f>F43-E43</x:f>
        <x:v>0</x:v>
      </x:c>
      <x:c r="K43" s="10" t="n">
        <x:f>ABS(J43)</x:f>
        <x:v>0</x:v>
      </x:c>
      <x:c r="L43" s="18" t="str">
        <x:v>n&gt;m直接减差值；n&lt;m从m逆推，偶数立即除2、奇数加1后除2，用加偶数次再除可交换为先除再加一半证明不劣。x&lt;=n补差最优，正逆路径对应并保持正值，O(log max(n,m))、O(1)正确，贪心标签准确。</x:v>
      </x:c>
      <x:c r="M43" s="18" t="str">
        <x:v>data/evaluation/v8-second-test/review-packets/second_2.json#/items/9</x:v>
      </x:c>
    </x:row>
    <x:row r="44" ht="48" customHeight="1">
      <x:c r="A44" s="2" t="str">
        <x:v>B10</x:v>
      </x:c>
      <x:c r="B44" s="2" t="str">
        <x:v>乘二减一最少操作</x:v>
      </x:c>
      <x:c r="C44" s="2" t="str">
        <x:v>回归9题</x:v>
      </x:c>
      <x:c r="D44" s="2" t="str">
        <x:v>二测第3次</x:v>
      </x:c>
      <x:c r="E44" s="10" t="n">
        <x:v>1400</x:v>
      </x:c>
      <x:c r="F44" s="10" t="n">
        <x:v>1100</x:v>
      </x:c>
      <x:c r="G44" s="16" t="b">
        <x:v>1</x:v>
      </x:c>
      <x:c r="H44" s="16" t="b">
        <x:v>1</x:v>
      </x:c>
      <x:c r="I44" s="17" t="b">
        <x:f>AND(G44,H44)</x:f>
        <x:v>1</x:v>
      </x:c>
      <x:c r="J44" s="10" t="n">
        <x:f>F44-E44</x:f>
        <x:v>-300</x:v>
      </x:c>
      <x:c r="K44" s="10" t="n">
        <x:f>ABS(J44)</x:f>
        <x:v>300</x:v>
      </x:c>
      <x:c r="L44" s="18" t="str">
        <x:v>n&gt;m直接减n-m；n&lt;m只有x&lt;m的乘法有用，峰值2x&lt;2m，故[1,2m+2]含最优路径及起点。正值限制用x&gt;1才能减，BFS按层首达最短。O(max(n,m))时间空间可行，修复首测界错误，BFS及队列实际使用。</x:v>
      </x:c>
      <x:c r="M44" s="18" t="str">
        <x:v>data/evaluation/v8-second-test/review-packets/second_3.json#/items/9</x:v>
      </x:c>
    </x:row>
    <x:row r="45" ht="80" customHeight="1">
      <x:c r="A45" s="2" t="str">
        <x:v>B11</x:v>
      </x:c>
      <x:c r="B45" s="2" t="str">
        <x:v>栈输出序列计数</x:v>
      </x:c>
      <x:c r="C45" s="2" t="str">
        <x:v>新增11题</x:v>
      </x:c>
      <x:c r="D45" s="2" t="str">
        <x:v>首测</x:v>
      </x:c>
      <x:c r="E45" s="10" t="n">
        <x:v>1500</x:v>
      </x:c>
      <x:c r="F45" s="10" t="n">
        <x:v>1100</x:v>
      </x:c>
      <x:c r="G45" s="16" t="b">
        <x:v>0</x:v>
      </x:c>
      <x:c r="H45" s="16" t="b">
        <x:v>0</x:v>
      </x:c>
      <x:c r="I45" s="17" t="b">
        <x:f>AND(G45,H45)</x:f>
        <x:v>0</x:v>
      </x:c>
      <x:c r="J45" s="10" t="n">
        <x:f>F45-E45</x:f>
        <x:v>-400</x:v>
      </x:c>
      <x:c r="K45" s="10" t="n">
        <x:f>ABS(J45)</x:f>
        <x:v>400</x:v>
      </x:c>
      <x:c r="L45" s="18" t="str">
        <x:v>卡特兰总递推及最终值C18=477638700正确，但其按“第一个输出k”划成独立子问题的证明不成立。独立枚举n=3全部输出为123、132、213、231、321，按首输出1/2/3的实际数量是2/2/1；所写f[k-1]f[n-k]对应2/1/2。首输出2时既有213又有231，表明栈内剩余与未入栈部分并非所称笛卡尔积。方法表的dp.interval只由这个无效区间分解支持，实际给出的f[m]是按规模的卡特兰计数递推，未建立有效区间状态；Catalan、组合数标签本身有依据。</x:v>
      </x:c>
      <x:c r="M45" s="18" t="str">
        <x:v>data/evaluation/v8-second-test/review-packets/first.json#/items/10</x:v>
      </x:c>
    </x:row>
    <x:row r="46" ht="64" customHeight="1">
      <x:c r="A46" s="2" t="str">
        <x:v>B11</x:v>
      </x:c>
      <x:c r="B46" s="2" t="str">
        <x:v>栈输出序列计数</x:v>
      </x:c>
      <x:c r="C46" s="2" t="str">
        <x:v>新增11题</x:v>
      </x:c>
      <x:c r="D46" s="2" t="str">
        <x:v>二测第1次</x:v>
      </x:c>
      <x:c r="E46" s="10" t="n">
        <x:v>1500</x:v>
      </x:c>
      <x:c r="F46" s="10" t="n">
        <x:v>1200</x:v>
      </x:c>
      <x:c r="G46" s="16" t="b">
        <x:v>1</x:v>
      </x:c>
      <x:c r="H46" s="16" t="b">
        <x:v>1</x:v>
      </x:c>
      <x:c r="I46" s="17" t="b">
        <x:f>AND(G46,H46)</x:f>
        <x:v>1</x:v>
      </x:c>
      <x:c r="J46" s="10" t="n">
        <x:f>F46-E46</x:f>
        <x:v>-300</x:v>
      </x:c>
      <x:c r="K46" s="10" t="n">
        <x:f>ABS(J46)</x:f>
        <x:v>300</x:v>
      </x:c>
      <x:c r="L46" s="18" t="str">
        <x:v>二维已压i/已弹j计数DP的合法域j&lt;=i、两种转移、初始与终点完整；输出序列唯一决定压弹操作的双射说明正确，不再使用首弹k伪分解。另一Catalan线性递推逐步精确整除。dp.count及Catalan分别覆盖两法。独立核验k=1..18线性式均等于组合公式，n18=477638700、最大乘法中间分子9075135300，64位安全；原参考另枚举n&lt;=8完整输出支持DP计数。</x:v>
      </x:c>
      <x:c r="M46" s="18" t="str">
        <x:v>data/evaluation/v8-second-test/review-packets/second_1.json#/items/10</x:v>
      </x:c>
    </x:row>
    <x:row r="47" ht="64" customHeight="1">
      <x:c r="A47" s="2" t="str">
        <x:v>B11</x:v>
      </x:c>
      <x:c r="B47" s="2" t="str">
        <x:v>栈输出序列计数</x:v>
      </x:c>
      <x:c r="C47" s="2" t="str">
        <x:v>新增11题</x:v>
      </x:c>
      <x:c r="D47" s="2" t="str">
        <x:v>二测第2次</x:v>
      </x:c>
      <x:c r="E47" s="10" t="n">
        <x:v>1500</x:v>
      </x:c>
      <x:c r="F47" s="10" t="n">
        <x:v>1300</x:v>
      </x:c>
      <x:c r="G47" s="16" t="b">
        <x:v>1</x:v>
      </x:c>
      <x:c r="H47" s="16" t="b">
        <x:v>1</x:v>
      </x:c>
      <x:c r="I47" s="17" t="b">
        <x:f>AND(G47,H47)</x:f>
        <x:v>1</x:v>
      </x:c>
      <x:c r="J47" s="10" t="n">
        <x:f>F47-E47</x:f>
        <x:v>-200</x:v>
      </x:c>
      <x:c r="K47" s="10" t="n">
        <x:f>ABS(J47)</x:f>
        <x:v>200</x:v>
      </x:c>
      <x:c r="L47" s="18" t="str">
        <x:v>压栈/弹栈对应合法括号前缀，栈顶决定下步是否弹/继续压的唯一性给出输出与操作串双射；按括号首次平衡点分解而非首个弹出值分解，得到正确Catalan递推f0=1、fi=sum fj*f(i-1-j)。Catalan与dp.count覆盖方法，O(n²)可行。独立参考n&lt;=8枚举不同输出与计数一致，n18=477638700；每个非负递推分项不超总和，long long安全。</x:v>
      </x:c>
      <x:c r="M47" s="18" t="str">
        <x:v>data/evaluation/v8-second-test/review-packets/second_2.json#/items/10</x:v>
      </x:c>
    </x:row>
    <x:row r="48" ht="80" customHeight="1">
      <x:c r="A48" s="2" t="str">
        <x:v>B11</x:v>
      </x:c>
      <x:c r="B48" s="2" t="str">
        <x:v>栈输出序列计数</x:v>
      </x:c>
      <x:c r="C48" s="2" t="str">
        <x:v>新增11题</x:v>
      </x:c>
      <x:c r="D48" s="2" t="str">
        <x:v>二测第3次</x:v>
      </x:c>
      <x:c r="E48" s="10" t="n">
        <x:v>1500</x:v>
      </x:c>
      <x:c r="F48" s="10" t="n">
        <x:v>1200</x:v>
      </x:c>
      <x:c r="G48" s="16" t="b">
        <x:v>1</x:v>
      </x:c>
      <x:c r="H48" s="16" t="b">
        <x:v>1</x:v>
      </x:c>
      <x:c r="I48" s="17" t="b">
        <x:f>AND(G48,H48)</x:f>
        <x:v>1</x:v>
      </x:c>
      <x:c r="J48" s="10" t="n">
        <x:f>F48-E48</x:f>
        <x:v>-300</x:v>
      </x:c>
      <x:c r="K48" s="10" t="n">
        <x:f>ABS(J48)</x:f>
        <x:v>300</x:v>
      </x:c>
      <x:c r="L48" s="18" t="str">
        <x:v>合法P/O串与Dyck路径等价，并按目标输出重构唯一操作说明双射，未用首弹k错误分解。Catalan递推与binom(2n,n)/(n+1)均正确，Catalan已覆盖该特定计数递推核心，不强制再重复dp.count；组合数标签对应替代公式。独立按乘除递推计算binom(36,18)=9075135300，最大乘法中间量163352435400，64位安全，除19得477638700；不存在要求直接阶乘36!的说明。</x:v>
      </x:c>
      <x:c r="M48" s="18" t="str">
        <x:v>data/evaluation/v8-second-test/review-packets/second_3.json#/items/10</x:v>
      </x:c>
    </x:row>
    <x:row r="49" ht="64" customHeight="1">
      <x:c r="A49" s="2" t="str">
        <x:v>B12</x:v>
      </x:c>
      <x:c r="B49" s="2" t="str">
        <x:v>连续编号分组查询</x:v>
      </x:c>
      <x:c r="C49" s="2" t="str">
        <x:v>回归9题</x:v>
      </x:c>
      <x:c r="D49" s="2" t="str">
        <x:v>首测</x:v>
      </x:c>
      <x:c r="E49" s="10" t="n">
        <x:v>1200</x:v>
      </x:c>
      <x:c r="F49" s="10" t="n">
        <x:v>1100</x:v>
      </x:c>
      <x:c r="G49" s="16" t="b">
        <x:v>1</x:v>
      </x:c>
      <x:c r="H49" s="16" t="b">
        <x:v>1</x:v>
      </x:c>
      <x:c r="I49" s="17" t="b">
        <x:f>AND(G49,H49)</x:f>
        <x:v>1</x:v>
      </x:c>
      <x:c r="J49" s="10" t="n">
        <x:f>F49-E49</x:f>
        <x:v>-100</x:v>
      </x:c>
      <x:c r="K49" s="10" t="n">
        <x:f>ABS(J49)</x:f>
        <x:v>100</x:v>
      </x:c>
      <x:c r="L49" s="18" t="str">
        <x:v>用正数组前缀和S确定组i范围(S[i-1],S[i]]，二分第一个S[i]&gt;=q；等号及首尾编号处理正确。basic.prefix-sum/basic.binary完整覆盖唯一方法。独立参考对300组随机组大小逐个对象与显式组号表比较通过，原样例1/25/11对应1/5/3；总和&lt;=10^6，复杂度O(n+m log n)可行。</x:v>
      </x:c>
      <x:c r="M49" s="18" t="str">
        <x:v>data/evaluation/v8-second-test/review-packets/first.json#/items/11</x:v>
      </x:c>
    </x:row>
    <x:row r="50" ht="64" customHeight="1">
      <x:c r="A50" s="2" t="str">
        <x:v>B12</x:v>
      </x:c>
      <x:c r="B50" s="2" t="str">
        <x:v>连续编号分组查询</x:v>
      </x:c>
      <x:c r="C50" s="2" t="str">
        <x:v>回归9题</x:v>
      </x:c>
      <x:c r="D50" s="2" t="str">
        <x:v>二测第1次</x:v>
      </x:c>
      <x:c r="E50" s="10" t="n">
        <x:v>1200</x:v>
      </x:c>
      <x:c r="F50" s="10" t="n">
        <x:v>1000</x:v>
      </x:c>
      <x:c r="G50" s="16" t="b">
        <x:v>1</x:v>
      </x:c>
      <x:c r="H50" s="16" t="b">
        <x:v>1</x:v>
      </x:c>
      <x:c r="I50" s="17" t="b">
        <x:f>AND(G50,H50)</x:f>
        <x:v>1</x:v>
      </x:c>
      <x:c r="J50" s="10" t="n">
        <x:f>F50-E50</x:f>
        <x:v>-200</x:v>
      </x:c>
      <x:c r="K50" s="10" t="n">
        <x:f>ABS(J50)</x:f>
        <x:v>200</x:v>
      </x:c>
      <x:c r="L50" s="18" t="str">
        <x:v>前缀和严格递增，查最小p_i&gt;=q，组末等号及首尾编号正确；第二法逐组铺位置→组号，总位置&lt;=10^6所以O(sum a+m)可行。prefix-sum/binary覆盖主线、simulate覆盖直接铺号，均有实际方法依据。独立参考300组所有对象号同时对比二分与铺号结果一致；原样例1/5/3。</x:v>
      </x:c>
      <x:c r="M50" s="18" t="str">
        <x:v>data/evaluation/v8-second-test/review-packets/second_1.json#/items/11</x:v>
      </x:c>
    </x:row>
    <x:row r="51" ht="48" customHeight="1">
      <x:c r="A51" s="2" t="str">
        <x:v>B12</x:v>
      </x:c>
      <x:c r="B51" s="2" t="str">
        <x:v>连续编号分组查询</x:v>
      </x:c>
      <x:c r="C51" s="2" t="str">
        <x:v>回归9题</x:v>
      </x:c>
      <x:c r="D51" s="2" t="str">
        <x:v>二测第2次</x:v>
      </x:c>
      <x:c r="E51" s="10" t="n">
        <x:v>1200</x:v>
      </x:c>
      <x:c r="F51" s="10" t="n">
        <x:v>1100</x:v>
      </x:c>
      <x:c r="G51" s="16" t="b">
        <x:v>1</x:v>
      </x:c>
      <x:c r="H51" s="16" t="b">
        <x:v>1</x:v>
      </x:c>
      <x:c r="I51" s="17" t="b">
        <x:f>AND(G51,H51)</x:f>
        <x:v>1</x:v>
      </x:c>
      <x:c r="J51" s="10" t="n">
        <x:f>F51-E51</x:f>
        <x:v>-100</x:v>
      </x:c>
      <x:c r="K51" s="10" t="n">
        <x:f>ABS(J51)</x:f>
        <x:v>100</x:v>
      </x:c>
      <x:c r="L51" s="18" t="str">
        <x:v>pre[i]为组末，组i闭区间[pre[i-1]+1,pre[i]]，前缀严格递增，二分最小pre&gt;=q覆盖组末等号与首尾。prefix-sum/binary准确，无多余标签；O(n+m log n)可行。独立参考300组全部对象号与铺号表一致，原样例1/5/3。</x:v>
      </x:c>
      <x:c r="M51" s="18" t="str">
        <x:v>data/evaluation/v8-second-test/review-packets/second_2.json#/items/11</x:v>
      </x:c>
    </x:row>
    <x:row r="52" ht="64" customHeight="1">
      <x:c r="A52" s="2" t="str">
        <x:v>B12</x:v>
      </x:c>
      <x:c r="B52" s="2" t="str">
        <x:v>连续编号分组查询</x:v>
      </x:c>
      <x:c r="C52" s="2" t="str">
        <x:v>回归9题</x:v>
      </x:c>
      <x:c r="D52" s="2" t="str">
        <x:v>二测第3次</x:v>
      </x:c>
      <x:c r="E52" s="10" t="n">
        <x:v>1200</x:v>
      </x:c>
      <x:c r="F52" s="10" t="n">
        <x:v>1100</x:v>
      </x:c>
      <x:c r="G52" s="16" t="b">
        <x:v>1</x:v>
      </x:c>
      <x:c r="H52" s="16" t="b">
        <x:v>1</x:v>
      </x:c>
      <x:c r="I52" s="17" t="b">
        <x:f>AND(G52,H52)</x:f>
        <x:v>1</x:v>
      </x:c>
      <x:c r="J52" s="10" t="n">
        <x:f>F52-E52</x:f>
        <x:v>-100</x:v>
      </x:c>
      <x:c r="K52" s="10" t="n">
        <x:f>ABS(J52)</x:f>
        <x:v>100</x:v>
      </x:c>
      <x:c r="L52" s="18" t="str">
        <x:v>组末前缀和严格递增，二分最小p&gt;=q精确定位，首尾/n1边界正确；直接按组展开所有编号也因总数&lt;=10^6可行。prefix-sum/binary/simulate分别对应两条实述方法，无多余知识。独立参考300组完整映射比较通过；复杂度O(n+m log n)与O(sum a+m)均正确。</x:v>
      </x:c>
      <x:c r="M52" s="18" t="str">
        <x:v>data/evaluation/v8-second-test/review-packets/second_3.json#/items/11</x:v>
      </x:c>
    </x:row>
    <x:row r="53" ht="96" customHeight="1">
      <x:c r="A53" s="2" t="str">
        <x:v>B13</x:v>
      </x:c>
      <x:c r="B53" s="2" t="str">
        <x:v>统计不同字符串个数</x:v>
      </x:c>
      <x:c r="C53" s="2" t="str">
        <x:v>新增11题</x:v>
      </x:c>
      <x:c r="D53" s="2" t="str">
        <x:v>首测</x:v>
      </x:c>
      <x:c r="E53" s="10" t="n">
        <x:v>1100</x:v>
      </x:c>
      <x:c r="F53" s="10" t="n">
        <x:v>800</x:v>
      </x:c>
      <x:c r="G53" s="16" t="b">
        <x:v>1</x:v>
      </x:c>
      <x:c r="H53" s="16" t="b">
        <x:v>0</x:v>
      </x:c>
      <x:c r="I53" s="17" t="b">
        <x:f>AND(G53,H53)</x:f>
        <x:v>0</x:v>
      </x:c>
      <x:c r="J53" s="10" t="n">
        <x:f>F53-E53</x:f>
        <x:v>-300</x:v>
      </x:c>
      <x:c r="K53" s="10" t="n">
        <x:f>ABS(J53)</x:f>
        <x:v>300</x:v>
      </x:c>
      <x:c r="L53" s="18" t="str">
        <x:v>排序后完整字符串相邻比较的主线正确；哈希表存储完整字符串、用精确等价比较也可以正确去重，basic.sort/string.basic/ds.hash各有实际方法依据。问题只在methods[1].time_complexity明确称“最坏O(N·L)哈希计算加冲突处理”：若N个不同键落同桶，逐次插入可累计1+...+(N-1)次精确判等，每次最坏O(L)，最坏可达O(N²L)，不能把正文的期望O(NL)当最坏。按冻结标准全部声称可行方法的技术结论都须正确，因此solution=false；不是禁止哈希表、不是要求官方字符串哈希，也不是仅存摘要导致结果碰撞错误。</x:v>
      </x:c>
      <x:c r="M53" s="18" t="str">
        <x:v>data/evaluation/v8-second-test/review-packets/first.json#/items/12</x:v>
      </x:c>
    </x:row>
    <x:row r="54" ht="80" customHeight="1">
      <x:c r="A54" s="2" t="str">
        <x:v>B13</x:v>
      </x:c>
      <x:c r="B54" s="2" t="str">
        <x:v>统计不同字符串个数</x:v>
      </x:c>
      <x:c r="C54" s="2" t="str">
        <x:v>新增11题</x:v>
      </x:c>
      <x:c r="D54" s="2" t="str">
        <x:v>二测第1次</x:v>
      </x:c>
      <x:c r="E54" s="10" t="n">
        <x:v>1100</x:v>
      </x:c>
      <x:c r="F54" s="10" t="n">
        <x:v>800</x:v>
      </x:c>
      <x:c r="G54" s="16" t="b">
        <x:v>1</x:v>
      </x:c>
      <x:c r="H54" s="16" t="b">
        <x:v>1</x:v>
      </x:c>
      <x:c r="I54" s="17" t="b">
        <x:f>AND(G54,H54)</x:f>
        <x:v>1</x:v>
      </x:c>
      <x:c r="J54" s="10" t="n">
        <x:f>F54-E54</x:f>
        <x:v>-300</x:v>
      </x:c>
      <x:c r="K54" s="10" t="n">
        <x:f>ABS(J54)</x:f>
        <x:v>300</x:v>
      </x:c>
      <x:c r="L54" s="18" t="str">
        <x:v>排序+完整字符串比较精确去重，基本排序应用/string.basic准确；替代法明确哈希冲突后逐字符核对，保留原串，不会把摘要相同当字符串必同。string.hash与ds.hash对应实际字符串映射及哈希表操作。正文/表均注明期望O(sum长度+N)，最坏O(N² Mmax)，已纠正首测错误最坏上界；排序O(N log N Mmax)可行。N=0或空串的条件性冗余说明不改变有效输入算法。</x:v>
      </x:c>
      <x:c r="M54" s="18" t="str">
        <x:v>data/evaluation/v8-second-test/review-packets/second_1.json#/items/12</x:v>
      </x:c>
    </x:row>
    <x:row r="55" ht="64" customHeight="1">
      <x:c r="A55" s="2" t="str">
        <x:v>B13</x:v>
      </x:c>
      <x:c r="B55" s="2" t="str">
        <x:v>统计不同字符串个数</x:v>
      </x:c>
      <x:c r="C55" s="2" t="str">
        <x:v>新增11题</x:v>
      </x:c>
      <x:c r="D55" s="2" t="str">
        <x:v>二测第2次</x:v>
      </x:c>
      <x:c r="E55" s="10" t="n">
        <x:v>1100</x:v>
      </x:c>
      <x:c r="F55" s="10" t="n">
        <x:v>800</x:v>
      </x:c>
      <x:c r="G55" s="16" t="b">
        <x:v>1</x:v>
      </x:c>
      <x:c r="H55" s="16" t="b">
        <x:v>1</x:v>
      </x:c>
      <x:c r="I55" s="17" t="b">
        <x:f>AND(G55,H55)</x:f>
        <x:v>1</x:v>
      </x:c>
      <x:c r="J55" s="10" t="n">
        <x:f>F55-E55</x:f>
        <x:v>-300</x:v>
      </x:c>
      <x:c r="K55" s="10" t="n">
        <x:f>ABS(J55)</x:f>
        <x:v>300</x:v>
      </x:c>
      <x:c r="L55" s="18" t="str">
        <x:v>主线unordered_set存完整字符串，哈希冲突时精确逐字符/长度判等，不存在摘要碰撞漏判；明确期望O(sum M)、最坏O(N² Lmax)，排序替代法也准确计入最坏比较字符数。ds.hash/string.basic/basic.sort分别覆盖两法，不要求贴官方“字符串哈希”。原参考300随机去重数据、大小写/前缀/长度1500边界均支持两条精确判等路线。</x:v>
      </x:c>
      <x:c r="M55" s="18" t="str">
        <x:v>data/evaluation/v8-second-test/review-packets/second_2.json#/items/12</x:v>
      </x:c>
    </x:row>
    <x:row r="56" ht="80" customHeight="1">
      <x:c r="A56" s="2" t="str">
        <x:v>B13</x:v>
      </x:c>
      <x:c r="B56" s="2" t="str">
        <x:v>统计不同字符串个数</x:v>
      </x:c>
      <x:c r="C56" s="2" t="str">
        <x:v>新增11题</x:v>
      </x:c>
      <x:c r="D56" s="2" t="str">
        <x:v>二测第3次</x:v>
      </x:c>
      <x:c r="E56" s="10" t="n">
        <x:v>1100</x:v>
      </x:c>
      <x:c r="F56" s="10" t="n">
        <x:v>800</x:v>
      </x:c>
      <x:c r="G56" s="16" t="b">
        <x:v>1</x:v>
      </x:c>
      <x:c r="H56" s="16" t="b">
        <x:v>1</x:v>
      </x:c>
      <x:c r="I56" s="17" t="b">
        <x:f>AND(G56,H56)</x:f>
        <x:v>1</x:v>
      </x:c>
      <x:c r="J56" s="10" t="n">
        <x:f>F56-E56</x:f>
        <x:v>-300</x:v>
      </x:c>
      <x:c r="K56" s="10" t="n">
        <x:f>ABS(J56)</x:f>
        <x:v>300</x:v>
      </x:c>
      <x:c r="L56" s="18" t="str">
        <x:v>完整字符串哈希表在摘要相同后仍比较完整原串，大小写和长度精确判等；仅声称期望O(S)，没有首测错误最坏线性上界。排序方法O(N log N Lmax+S)最坏与完整字符串去重正确，hash/string.basic/use-of-sort覆盖两法。表中“可视为O(S log N)量级”为总字节随比较排序层次重复处理的概括，可用归并排序做到，不否定前面明确上界。原参考300组、大小写/前缀/1500字符边界通过。</x:v>
      </x:c>
      <x:c r="M56" s="18" t="str">
        <x:v>data/evaluation/v8-second-test/review-packets/second_3.json#/items/12</x:v>
      </x:c>
    </x:row>
    <x:row r="57" ht="64" customHeight="1">
      <x:c r="A57" s="2" t="str">
        <x:v>B14</x:v>
      </x:c>
      <x:c r="B57" s="2" t="str">
        <x:v>连续阅读任务的最大完成数</x:v>
      </x:c>
      <x:c r="C57" s="2" t="str">
        <x:v>回归9题</x:v>
      </x:c>
      <x:c r="D57" s="2" t="str">
        <x:v>首测</x:v>
      </x:c>
      <x:c r="E57" s="10" t="n">
        <x:v>1300</x:v>
      </x:c>
      <x:c r="F57" s="10" t="n">
        <x:v>1100</x:v>
      </x:c>
      <x:c r="G57" s="16" t="b">
        <x:v>1</x:v>
      </x:c>
      <x:c r="H57" s="16" t="b">
        <x:v>1</x:v>
      </x:c>
      <x:c r="I57" s="17" t="b">
        <x:f>AND(G57,H57)</x:f>
        <x:v>1</x:v>
      </x:c>
      <x:c r="J57" s="10" t="n">
        <x:f>F57-E57</x:f>
        <x:v>-200</x:v>
      </x:c>
      <x:c r="K57" s="10" t="n">
        <x:f>ABS(J57)</x:f>
        <x:v>200</x:v>
      </x:c>
      <x:c r="L57" s="18" t="str">
        <x:v>正耗时保证窗口和的单调性；扩右后while超时缩左，记录最长合法窗口，覆盖空窗口及全项&gt;t输出0。misc.two-pointer对应实际方法，未多贴背包或排序。独立参考500个随机数组与全部连续区间穷举一致，两个原样例为3和1；O(n)可行。</x:v>
      </x:c>
      <x:c r="M57" s="18" t="str">
        <x:v>data/evaluation/v8-second-test/review-packets/first.json#/items/13</x:v>
      </x:c>
    </x:row>
    <x:row r="58" ht="64" customHeight="1">
      <x:c r="A58" s="2" t="str">
        <x:v>B14</x:v>
      </x:c>
      <x:c r="B58" s="2" t="str">
        <x:v>连续阅读任务的最大完成数</x:v>
      </x:c>
      <x:c r="C58" s="2" t="str">
        <x:v>回归9题</x:v>
      </x:c>
      <x:c r="D58" s="2" t="str">
        <x:v>二测第1次</x:v>
      </x:c>
      <x:c r="E58" s="10" t="n">
        <x:v>1300</x:v>
      </x:c>
      <x:c r="F58" s="10" t="n">
        <x:v>1100</x:v>
      </x:c>
      <x:c r="G58" s="16" t="b">
        <x:v>1</x:v>
      </x:c>
      <x:c r="H58" s="16" t="b">
        <x:v>1</x:v>
      </x:c>
      <x:c r="I58" s="17" t="b">
        <x:f>AND(G58,H58)</x:f>
        <x:v>1</x:v>
      </x:c>
      <x:c r="J58" s="10" t="n">
        <x:f>F58-E58</x:f>
        <x:v>-200</x:v>
      </x:c>
      <x:c r="K58" s="10" t="n">
        <x:f>ABS(J58)</x:f>
        <x:v>200</x:v>
      </x:c>
      <x:c r="L58" s="18" t="str">
        <x:v>双指针按正数单调性维护最长连续合法窗口、while超限收缩及空窗口答案0正确。另法对每个左端点在严格递增前缀和上二分最远满足差&lt;=t的右端点，也不遗漏最优。two-pointer与prefix-sum/binary分别覆盖两法；原参考500组与穷举一致，两个样例3/1；两法O(n)及O(n log n)均可行。</x:v>
      </x:c>
      <x:c r="M58" s="18" t="str">
        <x:v>data/evaluation/v8-second-test/review-packets/second_1.json#/items/13</x:v>
      </x:c>
    </x:row>
    <x:row r="59" ht="64" customHeight="1">
      <x:c r="A59" s="2" t="str">
        <x:v>B14</x:v>
      </x:c>
      <x:c r="B59" s="2" t="str">
        <x:v>连续阅读任务的最大完成数</x:v>
      </x:c>
      <x:c r="C59" s="2" t="str">
        <x:v>回归9题</x:v>
      </x:c>
      <x:c r="D59" s="2" t="str">
        <x:v>二测第2次</x:v>
      </x:c>
      <x:c r="E59" s="10" t="n">
        <x:v>1300</x:v>
      </x:c>
      <x:c r="F59" s="10" t="n">
        <x:v>1200</x:v>
      </x:c>
      <x:c r="G59" s="16" t="b">
        <x:v>1</x:v>
      </x:c>
      <x:c r="H59" s="16" t="b">
        <x:v>1</x:v>
      </x:c>
      <x:c r="I59" s="17" t="b">
        <x:f>AND(G59,H59)</x:f>
        <x:v>1</x:v>
      </x:c>
      <x:c r="J59" s="10" t="n">
        <x:f>F59-E59</x:f>
        <x:v>-100</x:v>
      </x:c>
      <x:c r="K59" s="10" t="n">
        <x:f>ABS(J59)</x:f>
        <x:v>100</x:v>
      </x:c>
      <x:c r="L59" s="18" t="str">
        <x:v>正耗时使固定右端的最左合法起点单调；扩右后while超限右移左端，允许缩空，记录最长连续段。备选前缀和+二分最远合法终点也可行；two-pointer/prefix-sum/binary覆盖所声称两法。原参考500组全区间穷举一致，样例3/1；O(n)及O(n log n)均可行。</x:v>
      </x:c>
      <x:c r="M59" s="18" t="str">
        <x:v>data/evaluation/v8-second-test/review-packets/second_2.json#/items/13</x:v>
      </x:c>
    </x:row>
    <x:row r="60" ht="64" customHeight="1">
      <x:c r="A60" s="2" t="str">
        <x:v>B14</x:v>
      </x:c>
      <x:c r="B60" s="2" t="str">
        <x:v>连续阅读任务的最大完成数</x:v>
      </x:c>
      <x:c r="C60" s="2" t="str">
        <x:v>回归9题</x:v>
      </x:c>
      <x:c r="D60" s="2" t="str">
        <x:v>二测第3次</x:v>
      </x:c>
      <x:c r="E60" s="10" t="n">
        <x:v>1300</x:v>
      </x:c>
      <x:c r="F60" s="10" t="n">
        <x:v>1200</x:v>
      </x:c>
      <x:c r="G60" s="16" t="b">
        <x:v>1</x:v>
      </x:c>
      <x:c r="H60" s="16" t="b">
        <x:v>1</x:v>
      </x:c>
      <x:c r="I60" s="17" t="b">
        <x:f>AND(G60,H60)</x:f>
        <x:v>1</x:v>
      </x:c>
      <x:c r="J60" s="10" t="n">
        <x:f>F60-E60</x:f>
        <x:v>-100</x:v>
      </x:c>
      <x:c r="K60" s="10" t="n">
        <x:f>ABS(J60)</x:f>
        <x:v>100</x:v>
      </x:c>
      <x:c r="L60" s="18" t="str">
        <x:v>正数滑窗扩右、超t时while缩左至合法并更新最长连续长度，空窗口输出0成立；“覆盖所有子段”理解为不遗漏最优而非实际枚举O(n²)个子段。备选方法在evidence明确前缀和+每起点二分最远合法右端，O(n log n)可行；two-pointer/prefix-sum/binary覆盖两法。原参考500组与全部连续区间穷举一致。</x:v>
      </x:c>
      <x:c r="M60" s="18" t="str">
        <x:v>data/evaluation/v8-second-test/review-packets/second_3.json#/items/13</x:v>
      </x:c>
    </x:row>
    <x:row r="61" ht="64" customHeight="1">
      <x:c r="A61" s="2" t="str">
        <x:v>B15</x:v>
      </x:c>
      <x:c r="B61" s="2" t="str">
        <x:v>最多参加的完整比赛数</x:v>
      </x:c>
      <x:c r="C61" s="2" t="str">
        <x:v>新增11题</x:v>
      </x:c>
      <x:c r="D61" s="2" t="str">
        <x:v>首测</x:v>
      </x:c>
      <x:c r="E61" s="10" t="n">
        <x:v>1000</x:v>
      </x:c>
      <x:c r="F61" s="10" t="n">
        <x:v>1400</x:v>
      </x:c>
      <x:c r="G61" s="16" t="b">
        <x:v>1</x:v>
      </x:c>
      <x:c r="H61" s="16" t="b">
        <x:v>1</x:v>
      </x:c>
      <x:c r="I61" s="17" t="b">
        <x:f>AND(G61,H61)</x:f>
        <x:v>1</x:v>
      </x:c>
      <x:c r="J61" s="10" t="n">
        <x:f>F61-E61</x:f>
        <x:v>400</x:v>
      </x:c>
      <x:c r="K61" s="10" t="n">
        <x:f>ABS(J61)</x:f>
        <x:v>400</x:v>
      </x:c>
      <x:c r="L61" s="18" t="str">
        <x:v>按结束时间升序，开始&gt;=上一已选结束即选择；可相接及0起点语义正确，交换论证说明最早结束可替换最优首场。basic.greedy/basic.sort均为实际关键知识。独立参考300组最多10区间与全部子集合法调度穷举一致，原相接样例答案2；O(n log n)符合约束。</x:v>
      </x:c>
      <x:c r="M61" s="18" t="str">
        <x:v>data/evaluation/v8-second-test/review-packets/first.json#/items/14</x:v>
      </x:c>
    </x:row>
    <x:row r="62" ht="64" customHeight="1">
      <x:c r="A62" s="2" t="str">
        <x:v>B15</x:v>
      </x:c>
      <x:c r="B62" s="2" t="str">
        <x:v>最多参加的完整比赛数</x:v>
      </x:c>
      <x:c r="C62" s="2" t="str">
        <x:v>新增11题</x:v>
      </x:c>
      <x:c r="D62" s="2" t="str">
        <x:v>二测第1次</x:v>
      </x:c>
      <x:c r="E62" s="10" t="n">
        <x:v>1000</x:v>
      </x:c>
      <x:c r="F62" s="10" t="n">
        <x:v>1300</x:v>
      </x:c>
      <x:c r="G62" s="16" t="b">
        <x:v>1</x:v>
      </x:c>
      <x:c r="H62" s="16" t="b">
        <x:v>1</x:v>
      </x:c>
      <x:c r="I62" s="17" t="b">
        <x:f>AND(G62,H62)</x:f>
        <x:v>1</x:v>
      </x:c>
      <x:c r="J62" s="10" t="n">
        <x:f>F62-E62</x:f>
        <x:v>300</x:v>
      </x:c>
      <x:c r="K62" s="10" t="n">
        <x:f>ABS(J62)</x:f>
        <x:v>300</x:v>
      </x:c>
      <x:c r="L62" s="18" t="str">
        <x:v>结束时间递增的贪心，a&gt;=last_end接纳，初值-1涵盖0起点，交换论证安全；greedy/sort覆盖实际方法。虽然开头记作闭区间[a,b]，随后明确相接允许且判断&gt;=，不导致执行或结果错误，不因记号差异否决。独立参考300组与所有子集穷举一致，原相接样例为2。</x:v>
      </x:c>
      <x:c r="M62" s="18" t="str">
        <x:v>data/evaluation/v8-second-test/review-packets/second_1.json#/items/14</x:v>
      </x:c>
    </x:row>
    <x:row r="63" ht="48" customHeight="1">
      <x:c r="A63" s="2" t="str">
        <x:v>B15</x:v>
      </x:c>
      <x:c r="B63" s="2" t="str">
        <x:v>最多参加的完整比赛数</x:v>
      </x:c>
      <x:c r="C63" s="2" t="str">
        <x:v>新增11题</x:v>
      </x:c>
      <x:c r="D63" s="2" t="str">
        <x:v>二测第2次</x:v>
      </x:c>
      <x:c r="E63" s="10" t="n">
        <x:v>1000</x:v>
      </x:c>
      <x:c r="F63" s="10" t="n">
        <x:v>1300</x:v>
      </x:c>
      <x:c r="G63" s="16" t="b">
        <x:v>1</x:v>
      </x:c>
      <x:c r="H63" s="16" t="b">
        <x:v>1</x:v>
      </x:c>
      <x:c r="I63" s="17" t="b">
        <x:f>AND(G63,H63)</x:f>
        <x:v>1</x:v>
      </x:c>
      <x:c r="J63" s="10" t="n">
        <x:f>F63-E63</x:f>
        <x:v>300</x:v>
      </x:c>
      <x:c r="K63" s="10" t="n">
        <x:f>ABS(J63)</x:f>
        <x:v>300</x:v>
      </x:c>
      <x:c r="L63" s="18" t="str">
        <x:v>按结束升序、a&gt;=last_end选择，初始-1且相接合法，交换论证完整。greedy及use-of-sort准确覆盖排序后选择，不因闭区间记号而否决明确&gt;=判断。原参考300组子集穷举与贪心一致，样例2；O(n log n)适用n&lt;=10^6。</x:v>
      </x:c>
      <x:c r="M63" s="18" t="str">
        <x:v>data/evaluation/v8-second-test/review-packets/second_2.json#/items/14</x:v>
      </x:c>
    </x:row>
    <x:row r="64" ht="64" customHeight="1">
      <x:c r="A64" s="2" t="str">
        <x:v>B15</x:v>
      </x:c>
      <x:c r="B64" s="2" t="str">
        <x:v>最多参加的完整比赛数</x:v>
      </x:c>
      <x:c r="C64" s="2" t="str">
        <x:v>新增11题</x:v>
      </x:c>
      <x:c r="D64" s="2" t="str">
        <x:v>二测第3次</x:v>
      </x:c>
      <x:c r="E64" s="10" t="n">
        <x:v>1000</x:v>
      </x:c>
      <x:c r="F64" s="10" t="n">
        <x:v>1200</x:v>
      </x:c>
      <x:c r="G64" s="16" t="b">
        <x:v>1</x:v>
      </x:c>
      <x:c r="H64" s="16" t="b">
        <x:v>1</x:v>
      </x:c>
      <x:c r="I64" s="17" t="b">
        <x:f>AND(G64,H64)</x:f>
        <x:v>1</x:v>
      </x:c>
      <x:c r="J64" s="10" t="n">
        <x:f>F64-E64</x:f>
        <x:v>200</x:v>
      </x:c>
      <x:c r="K64" s="10" t="n">
        <x:f>ABS(J64)</x:f>
        <x:v>200</x:v>
      </x:c>
      <x:c r="L64" s="18" t="str">
        <x:v>按b&lt;=10^6做计数/桶排序后执行最早结束贪心，保留各场起点信息；同结束的正长度区间最多选1个，桶内顺序不影响最优，a&gt;=last_end及初始-1正确。greedy/counting-sort准确覆盖具体方法，O(n+B)时间/空间可行。独立500组随机区间验证桶序贪心与比较排序贪心一致，基础贪心另有300组子集穷举参考。</x:v>
      </x:c>
      <x:c r="M64" s="18" t="str">
        <x:v>data/evaluation/v8-second-test/review-packets/second_3.json#/items/14</x:v>
      </x:c>
    </x:row>
    <x:row r="65" ht="64" customHeight="1">
      <x:c r="A65" s="2" t="str">
        <x:v>B16</x:v>
      </x:c>
      <x:c r="B65" s="2" t="str">
        <x:v>滑动窗口前缀最小值</x:v>
      </x:c>
      <x:c r="C65" s="2" t="str">
        <x:v>新增11题</x:v>
      </x:c>
      <x:c r="D65" s="2" t="str">
        <x:v>首测</x:v>
      </x:c>
      <x:c r="E65" s="10" t="n">
        <x:v>1300</x:v>
      </x:c>
      <x:c r="F65" s="10" t="n">
        <x:v>1400</x:v>
      </x:c>
      <x:c r="G65" s="16" t="b">
        <x:v>1</x:v>
      </x:c>
      <x:c r="H65" s="16" t="b">
        <x:v>1</x:v>
      </x:c>
      <x:c r="I65" s="17" t="b">
        <x:f>AND(G65,H65)</x:f>
        <x:v>1</x:v>
      </x:c>
      <x:c r="J65" s="10" t="n">
        <x:f>F65-E65</x:f>
        <x:v>100</x:v>
      </x:c>
      <x:c r="K65" s="10" t="n">
        <x:f>ABS(J65)</x:f>
        <x:v>100</x:v>
      </x:c>
      <x:c r="L65" s="18" t="str">
        <x:v>处理i先移除下标&lt;i-m，查询队首，输出后才插入i，因此精确查询[max(1,i-m),i-1]，没有包含当前位置。值&gt;=新值的队尾可淘汰且新下标更晚过期；单调队列标签准确。独立参考1000组数组与直接历史切片最小值一致，原样例0/7/7/1/1/3，m=1时输出前项；O(n)及O(n)空间可行。</x:v>
      </x:c>
      <x:c r="M65" s="18" t="str">
        <x:v>data/evaluation/v8-second-test/review-packets/first.json#/items/15</x:v>
      </x:c>
    </x:row>
    <x:row r="66" ht="64" customHeight="1">
      <x:c r="A66" s="2" t="str">
        <x:v>B16</x:v>
      </x:c>
      <x:c r="B66" s="2" t="str">
        <x:v>滑动窗口前缀最小值</x:v>
      </x:c>
      <x:c r="C66" s="2" t="str">
        <x:v>新增11题</x:v>
      </x:c>
      <x:c r="D66" s="2" t="str">
        <x:v>二测第1次</x:v>
      </x:c>
      <x:c r="E66" s="10" t="n">
        <x:v>1300</x:v>
      </x:c>
      <x:c r="F66" s="10" t="n">
        <x:v>1300</x:v>
      </x:c>
      <x:c r="G66" s="16" t="b">
        <x:v>1</x:v>
      </x:c>
      <x:c r="H66" s="16" t="b">
        <x:v>1</x:v>
      </x:c>
      <x:c r="I66" s="17" t="b">
        <x:f>AND(G66,H66)</x:f>
        <x:v>1</x:v>
      </x:c>
      <x:c r="J66" s="10" t="n">
        <x:f>F66-E66</x:f>
        <x:v>0</x:v>
      </x:c>
      <x:c r="K66" s="10" t="n">
        <x:f>ABS(J66)</x:f>
        <x:v>0</x:v>
      </x:c>
      <x:c r="L66" s="18" t="str">
        <x:v>不同于首测的等价顺序：当前先输出前次维护好的队首，再插入i并剔除&lt;i+1-m，为下一次i+1预备[max(1,i+1-m),i]。初始空队输出0、m=1及m=n正确，未包含当前位置。独立按这一次具体顺序实现，1000随机数组与直接前项最小值逐项一致；monotonic-queue准确，摊还O(n)、队列O(m)。</x:v>
      </x:c>
      <x:c r="M66" s="18" t="str">
        <x:v>data/evaluation/v8-second-test/review-packets/second_1.json#/items/15</x:v>
      </x:c>
    </x:row>
    <x:row r="67" ht="48" customHeight="1">
      <x:c r="A67" s="2" t="str">
        <x:v>B16</x:v>
      </x:c>
      <x:c r="B67" s="2" t="str">
        <x:v>滑动窗口前缀最小值</x:v>
      </x:c>
      <x:c r="C67" s="2" t="str">
        <x:v>新增11题</x:v>
      </x:c>
      <x:c r="D67" s="2" t="str">
        <x:v>二测第2次</x:v>
      </x:c>
      <x:c r="E67" s="10" t="n">
        <x:v>1300</x:v>
      </x:c>
      <x:c r="F67" s="10" t="n">
        <x:v>1200</x:v>
      </x:c>
      <x:c r="G67" s="16" t="b">
        <x:v>1</x:v>
      </x:c>
      <x:c r="H67" s="16" t="b">
        <x:v>1</x:v>
      </x:c>
      <x:c r="I67" s="17" t="b">
        <x:f>AND(G67,H67)</x:f>
        <x:v>1</x:v>
      </x:c>
      <x:c r="J67" s="10" t="n">
        <x:f>F67-E67</x:f>
        <x:v>-100</x:v>
      </x:c>
      <x:c r="K67" s="10" t="n">
        <x:f>ABS(J67)</x:f>
        <x:v>100</x:v>
      </x:c>
      <x:c r="L67" s="18" t="str">
        <x:v>先剔除&lt;i-m过期下标、输出后才插入i并去尾&gt;=值，精确排除当前位置；单调队列候选支配与过期逻辑成立，i1输出0、m1及mn自然覆盖。monotonic-queue准确，O(n)时间及O(n)/流式O(m)空间合理；原参考1000组与历史切片最小值一致。</x:v>
      </x:c>
      <x:c r="M67" s="18" t="str">
        <x:v>data/evaluation/v8-second-test/review-packets/second_2.json#/items/15</x:v>
      </x:c>
    </x:row>
    <x:row r="68" ht="64" customHeight="1">
      <x:c r="A68" s="2" t="str">
        <x:v>B16</x:v>
      </x:c>
      <x:c r="B68" s="2" t="str">
        <x:v>滑动窗口前缀最小值</x:v>
      </x:c>
      <x:c r="C68" s="2" t="str">
        <x:v>新增11题</x:v>
      </x:c>
      <x:c r="D68" s="2" t="str">
        <x:v>二测第3次</x:v>
      </x:c>
      <x:c r="E68" s="10" t="n">
        <x:v>1300</x:v>
      </x:c>
      <x:c r="F68" s="10" t="n">
        <x:v>1200</x:v>
      </x:c>
      <x:c r="G68" s="16" t="b">
        <x:v>1</x:v>
      </x:c>
      <x:c r="H68" s="16" t="b">
        <x:v>1</x:v>
      </x:c>
      <x:c r="I68" s="17" t="b">
        <x:f>AND(G68,H68)</x:f>
        <x:v>1</x:v>
      </x:c>
      <x:c r="J68" s="10" t="n">
        <x:f>F68-E68</x:f>
        <x:v>-100</x:v>
      </x:c>
      <x:c r="K68" s="10" t="n">
        <x:f>ABS(J68)</x:f>
        <x:v>100</x:v>
      </x:c>
      <x:c r="L68" s="18" t="str">
        <x:v>先剔除&lt;i-m的过期下标，取队首前项最小，输出后才入i且去尾&gt;=值，窗口正是[max(1,i-m),i-1]。i1空队输出0、m1/全前缀有效；monotonic-queue覆盖核心。每下标至多进出一次O(n)，原1000组直接历史切片差分支持其具体逻辑，原样例0/7/7/1/1/3。</x:v>
      </x:c>
      <x:c r="M68" s="18" t="str">
        <x:v>data/evaluation/v8-second-test/review-packets/second_3.json#/items/15</x:v>
      </x:c>
    </x:row>
    <x:row r="69" ht="80" customHeight="1">
      <x:c r="A69" s="2" t="str">
        <x:v>B17</x:v>
      </x:c>
      <x:c r="B69" s="2" t="str">
        <x:v>图的最少换边连通（CF25D）</x:v>
      </x:c>
      <x:c r="C69" s="2" t="str">
        <x:v>回归9题</x:v>
      </x:c>
      <x:c r="D69" s="2" t="str">
        <x:v>首测</x:v>
      </x:c>
      <x:c r="E69" s="10" t="n">
        <x:v>1500</x:v>
      </x:c>
      <x:c r="F69" s="10" t="n">
        <x:v>1400</x:v>
      </x:c>
      <x:c r="G69" s="16" t="b">
        <x:v>1</x:v>
      </x:c>
      <x:c r="H69" s="16" t="b">
        <x:v>0</x:v>
      </x:c>
      <x:c r="I69" s="17" t="b">
        <x:f>AND(G69,H69)</x:f>
        <x:v>0</x:v>
      </x:c>
      <x:c r="J69" s="10" t="n">
        <x:f>F69-E69</x:f>
        <x:v>-100</x:v>
      </x:c>
      <x:c r="K69" s="10" t="n">
        <x:f>ABS(J69)</x:f>
        <x:v>100</x:v>
      </x:c>
      <x:c r="L69" s="18" t="str">
        <x:v>所列DFS、树基础、构造是其声称方法实际使用的知识，标签本身独立判为覆盖；但解法核心命题及构造确定错误。合法n=4边(1,2),(2,3),(3,1)恰n-1边，分量为三角形与孤点4，反驳“每块都是树”；把含1的块作基准时孤点块没有可删除边。原7点样例若删桥(4,5)再加(1,4)，独立连通分量模拟由2仍为2，剩余{5,6,7}孤立，反驳“删树边再跨块加边净减1”。应删环上非森林边，但该输出没有给出这一可行构造。</x:v>
      </x:c>
      <x:c r="M69" s="18" t="str">
        <x:v>data/evaluation/v8-second-test/review-packets/first.json#/items/16</x:v>
      </x:c>
    </x:row>
    <x:row r="70" ht="80" customHeight="1">
      <x:c r="A70" s="2" t="str">
        <x:v>B17</x:v>
      </x:c>
      <x:c r="B70" s="2" t="str">
        <x:v>图的最少换边连通（CF25D）</x:v>
      </x:c>
      <x:c r="C70" s="2" t="str">
        <x:v>回归9题</x:v>
      </x:c>
      <x:c r="D70" s="2" t="str">
        <x:v>二测第1次</x:v>
      </x:c>
      <x:c r="E70" s="10" t="n">
        <x:v>1500</x:v>
      </x:c>
      <x:c r="F70" s="10" t="n">
        <x:v>1700</x:v>
      </x:c>
      <x:c r="G70" s="16" t="b">
        <x:v>0</x:v>
      </x:c>
      <x:c r="H70" s="16" t="b">
        <x:v>1</x:v>
      </x:c>
      <x:c r="I70" s="17" t="b">
        <x:f>AND(G70,H70)</x:f>
        <x:v>0</x:v>
      </x:c>
      <x:c r="J70" s="10" t="n">
        <x:f>F70-E70</x:f>
        <x:v>200</x:v>
      </x:c>
      <x:c r="K70" s="10" t="n">
        <x:f>ABS(J70)</x:f>
        <x:v>200</x:v>
      </x:c>
      <x:c r="L70" s="18" t="str">
        <x:v>并查集提取生成森林，合并失败边恰c-1条可删除；保留森林保证删边不拆块，跨当前块加边并合并，方案最优且合法，solution=true。标签只有ds.union-find与graph.basic：当前词表前者说明集合合并/连通，后者说明度/路径/连通块/表示/DFS/BFS，均未语义覆盖必须输出具体删边加边方案这一独立构造核心，缺basic.construction或同等精确覆盖，tags=false。该漏标与解法本身正确分开。</x:v>
      </x:c>
      <x:c r="M70" s="18" t="str">
        <x:v>data/evaluation/v8-second-test/review-packets/second_1.json#/items/16</x:v>
      </x:c>
    </x:row>
    <x:row r="71" ht="80" customHeight="1">
      <x:c r="A71" s="2" t="str">
        <x:v>B17</x:v>
      </x:c>
      <x:c r="B71" s="2" t="str">
        <x:v>图的最少换边连通（CF25D）</x:v>
      </x:c>
      <x:c r="C71" s="2" t="str">
        <x:v>回归9题</x:v>
      </x:c>
      <x:c r="D71" s="2" t="str">
        <x:v>二测第2次</x:v>
      </x:c>
      <x:c r="E71" s="10" t="n">
        <x:v>1500</x:v>
      </x:c>
      <x:c r="F71" s="10" t="n">
        <x:v>1500</x:v>
      </x:c>
      <x:c r="G71" s="16" t="b">
        <x:v>1</x:v>
      </x:c>
      <x:c r="H71" s="16" t="b">
        <x:v>1</x:v>
      </x:c>
      <x:c r="I71" s="17" t="b">
        <x:f>AND(G71,H71)</x:f>
        <x:v>1</x:v>
      </x:c>
      <x:c r="J71" s="10" t="n">
        <x:f>F71-E71</x:f>
        <x:v>0</x:v>
      </x:c>
      <x:c r="K71" s="10" t="n">
        <x:f>ABS(J71)</x:f>
        <x:v>0</x:v>
      </x:c>
      <x:c r="L71" s="18" t="str">
        <x:v>DSU合并成功边构成生成森林，失败边恰c-1条；代表按链r_i→r_(i+1)连接，并逐条删除非森林边，始终保留原森林。一次替换至多减块1，构造达到c-1，且新边不同初始分量故无自环/重边。union-find与construction覆盖两个独立核心，补齐R1漏标。独立按本次“链式”实现对n&lt;=6所有3237个n-1边简单图逐步模拟：删边存在、新边不重复、最终连通且边数n-1全部通过。</x:v>
      </x:c>
      <x:c r="M71" s="18" t="str">
        <x:v>data/evaluation/v8-second-test/review-packets/second_2.json#/items/16</x:v>
      </x:c>
    </x:row>
    <x:row r="72" ht="80" customHeight="1">
      <x:c r="A72" s="2" t="str">
        <x:v>B17</x:v>
      </x:c>
      <x:c r="B72" s="2" t="str">
        <x:v>图的最少换边连通（CF25D）</x:v>
      </x:c>
      <x:c r="C72" s="2" t="str">
        <x:v>回归9题</x:v>
      </x:c>
      <x:c r="D72" s="2" t="str">
        <x:v>二测第3次</x:v>
      </x:c>
      <x:c r="E72" s="10" t="n">
        <x:v>1500</x:v>
      </x:c>
      <x:c r="F72" s="10" t="n">
        <x:v>1600</x:v>
      </x:c>
      <x:c r="G72" s="16" t="b">
        <x:v>1</x:v>
      </x:c>
      <x:c r="H72" s="16" t="b">
        <x:v>1</x:v>
      </x:c>
      <x:c r="I72" s="17" t="b">
        <x:f>AND(G72,H72)</x:f>
        <x:v>1</x:v>
      </x:c>
      <x:c r="J72" s="10" t="n">
        <x:f>F72-E72</x:f>
        <x:v>100</x:v>
      </x:c>
      <x:c r="K72" s="10" t="n">
        <x:f>ABS(J72)</x:f>
        <x:v>100</x:v>
      </x:c>
      <x:c r="L72" s="18" t="str">
        <x:v>DSU成功合并边组成各分量生成森林，失败边恰k-1条；保留森林使逐条删除非树边均不拆分原块，再从首代表星形连接其余初始代表，确实逐步合并且无重边/自环，k-1达到下界。union-find+construction+graph.basic完整覆盖集合识别、具体替换方案及图语义，已补R1缺失。与事前独立参考相同构造，n&lt;=6所有3237个合法n-1边简单图逐步模拟通过，三角形+孤点亦可处理。</x:v>
      </x:c>
      <x:c r="M72" s="18" t="str">
        <x:v>data/evaluation/v8-second-test/review-packets/second_3.json#/items/16</x:v>
      </x:c>
    </x:row>
    <x:row r="73" ht="64" customHeight="1">
      <x:c r="A73" s="2" t="str">
        <x:v>B18</x:v>
      </x:c>
      <x:c r="B73" s="2" t="str">
        <x:v>区间加与区间和</x:v>
      </x:c>
      <x:c r="C73" s="2" t="str">
        <x:v>新增11题</x:v>
      </x:c>
      <x:c r="D73" s="2" t="str">
        <x:v>首测</x:v>
      </x:c>
      <x:c r="E73" s="10" t="n">
        <x:v>1700</x:v>
      </x:c>
      <x:c r="F73" s="10" t="n">
        <x:v>1500</x:v>
      </x:c>
      <x:c r="G73" s="16" t="b">
        <x:v>1</x:v>
      </x:c>
      <x:c r="H73" s="16" t="b">
        <x:v>1</x:v>
      </x:c>
      <x:c r="I73" s="17" t="b">
        <x:f>AND(G73,H73)</x:f>
        <x:v>1</x:v>
      </x:c>
      <x:c r="J73" s="10" t="n">
        <x:f>F73-E73</x:f>
        <x:v>-200</x:v>
      </x:c>
      <x:c r="K73" s="10" t="n">
        <x:f>ABS(J73)</x:f>
        <x:v>200</x:v>
      </x:c>
      <x:c r="L73" s="18" t="str">
        <x:v>懒加线段树节点存真实区间和，整段sum+=k*len并累加lazy，部分访问前下传后合并，操作顺序完整，ds.segment-tree.basic准确覆盖。正初值/正增量且总和&lt;=2e18保障节点和及实际加量处在signed64范围；此份没有双BIT加权中间项问题。独立参考300组各80步与直接数组一致，原样例11/8/20；总O(n+m log n)。</x:v>
      </x:c>
      <x:c r="M73" s="18" t="str">
        <x:v>data/evaluation/v8-second-test/review-packets/first.json#/items/17</x:v>
      </x:c>
    </x:row>
    <x:row r="74" ht="64" customHeight="1">
      <x:c r="A74" s="2" t="str">
        <x:v>B18</x:v>
      </x:c>
      <x:c r="B74" s="2" t="str">
        <x:v>区间加与区间和</x:v>
      </x:c>
      <x:c r="C74" s="2" t="str">
        <x:v>新增11题</x:v>
      </x:c>
      <x:c r="D74" s="2" t="str">
        <x:v>二测第1次</x:v>
      </x:c>
      <x:c r="E74" s="10" t="n">
        <x:v>1700</x:v>
      </x:c>
      <x:c r="F74" s="10" t="n">
        <x:v>1600</x:v>
      </x:c>
      <x:c r="G74" s="16" t="b">
        <x:v>1</x:v>
      </x:c>
      <x:c r="H74" s="16" t="b">
        <x:v>1</x:v>
      </x:c>
      <x:c r="I74" s="17" t="b">
        <x:f>AND(G74,H74)</x:f>
        <x:v>1</x:v>
      </x:c>
      <x:c r="J74" s="10" t="n">
        <x:f>F74-E74</x:f>
        <x:v>-100</x:v>
      </x:c>
      <x:c r="K74" s="10" t="n">
        <x:f>ABS(J74)</x:f>
        <x:v>100</x:v>
      </x:c>
      <x:c r="L74" s="18" t="str">
        <x:v>懒标记线段树与双Fenwick差分两法均完整；公式S(x)=(x+1)Σd_j−Σj*d_j正确，r=n跳过n+1，区间和取前缀差。明确指出加权内部量可超signed64并要求128位/安全处理，未把真实总和界误当内部界。标签segment-tree/fenwick/difference/prefix-sum覆盖两法。独立双BIT实现300组×60步与直接数组一致，主线树在原参考300组×80步也通过。</x:v>
      </x:c>
      <x:c r="M74" s="18" t="str">
        <x:v>data/evaluation/v8-second-test/review-packets/second_1.json#/items/17</x:v>
      </x:c>
    </x:row>
    <x:row r="75" ht="80" customHeight="1">
      <x:c r="A75" s="2" t="str">
        <x:v>B18</x:v>
      </x:c>
      <x:c r="B75" s="2" t="str">
        <x:v>区间加与区间和</x:v>
      </x:c>
      <x:c r="C75" s="2" t="str">
        <x:v>新增11题</x:v>
      </x:c>
      <x:c r="D75" s="2" t="str">
        <x:v>二测第2次</x:v>
      </x:c>
      <x:c r="E75" s="10" t="n">
        <x:v>1700</x:v>
      </x:c>
      <x:c r="F75" s="10" t="n">
        <x:v>1500</x:v>
      </x:c>
      <x:c r="G75" s="16" t="b">
        <x:v>1</x:v>
      </x:c>
      <x:c r="H75" s="16" t="b">
        <x:v>0</x:v>
      </x:c>
      <x:c r="I75" s="17" t="b">
        <x:f>AND(G75,H75)</x:f>
        <x:v>0</x:v>
      </x:c>
      <x:c r="J75" s="10" t="n">
        <x:f>F75-E75</x:f>
        <x:v>-200</x:v>
      </x:c>
      <x:c r="K75" s="10" t="n">
        <x:f>ABS(J75)</x:f>
        <x:v>200</x:v>
      </x:c>
      <x:c r="L75" s="18" t="str">
        <x:v>线段树与双BIT公式本身正确，标签segment-tree/fenwick/difference/prefix-sum覆盖两法；但两法合述只要求64位，未保障双BIT加权项i*d_i与(p+1)Σd_i的中间范围。合法n=100000、初值全1，末项加k=1999999999999900000后总和恰2e18，然而加权更新n*k=199999999999990000000000，远超signed64最大9223372036854775807。R1明确128位才覆盖此边界，R2未覆盖；按全部声称方法须完整处理范围，solution=false，不是线段树主线错误。</x:v>
      </x:c>
      <x:c r="M75" s="18" t="str">
        <x:v>data/evaluation/v8-second-test/review-packets/second_2.json#/items/17</x:v>
      </x:c>
    </x:row>
    <x:row r="76" ht="64" customHeight="1">
      <x:c r="A76" s="2" t="str">
        <x:v>B18</x:v>
      </x:c>
      <x:c r="B76" s="2" t="str">
        <x:v>区间加与区间和</x:v>
      </x:c>
      <x:c r="C76" s="2" t="str">
        <x:v>新增11题</x:v>
      </x:c>
      <x:c r="D76" s="2" t="str">
        <x:v>二测第3次</x:v>
      </x:c>
      <x:c r="E76" s="10" t="n">
        <x:v>1700</x:v>
      </x:c>
      <x:c r="F76" s="10" t="n">
        <x:v>1400</x:v>
      </x:c>
      <x:c r="G76" s="16" t="b">
        <x:v>1</x:v>
      </x:c>
      <x:c r="H76" s="16" t="b">
        <x:v>1</x:v>
      </x:c>
      <x:c r="I76" s="17" t="b">
        <x:f>AND(G76,H76)</x:f>
        <x:v>1</x:v>
      </x:c>
      <x:c r="J76" s="10" t="n">
        <x:f>F76-E76</x:f>
        <x:v>-300</x:v>
      </x:c>
      <x:c r="K76" s="10" t="n">
        <x:f>ABS(J76)</x:f>
        <x:v>300</x:v>
      </x:c>
      <x:c r="L76" s="18" t="str">
        <x:v>懒加线段树sum+=k*len与lazy正确，下传/部分递归/合并完整；真实节点和&lt;=2e18，signed64可存。双Fenwick差分及加权项路线说明明确要求128位中间量或选择线段树，因此覆盖R2缺失数值边界。segment-tree/fenwick/difference/prefix-sum覆盖两法。原参考树300组×80步、双BIT补查300组×60步均与直接数组一致；不要求说明书再给全量代码。</x:v>
      </x:c>
      <x:c r="M76" s="18" t="str">
        <x:v>data/evaluation/v8-second-test/review-packets/second_3.json#/items/17</x:v>
      </x:c>
    </x:row>
    <x:row r="77" ht="64" customHeight="1">
      <x:c r="A77" s="2" t="str">
        <x:v>B19</x:v>
      </x:c>
      <x:c r="B77" s="2" t="str">
        <x:v>快速幂取模</x:v>
      </x:c>
      <x:c r="C77" s="2" t="str">
        <x:v>新增11题</x:v>
      </x:c>
      <x:c r="D77" s="2" t="str">
        <x:v>首测</x:v>
      </x:c>
      <x:c r="E77" s="10" t="n">
        <x:v>1100</x:v>
      </x:c>
      <x:c r="F77" s="10" t="n">
        <x:v>1100</x:v>
      </x:c>
      <x:c r="G77" s="16" t="b">
        <x:v>1</x:v>
      </x:c>
      <x:c r="H77" s="16" t="b">
        <x:v>1</x:v>
      </x:c>
      <x:c r="I77" s="17" t="b">
        <x:f>AND(G77,H77)</x:f>
        <x:v>1</x:v>
      </x:c>
      <x:c r="J77" s="10" t="n">
        <x:f>F77-E77</x:f>
        <x:v>0</x:v>
      </x:c>
      <x:c r="K77" s="10" t="n">
        <x:f>ABS(J77)</x:f>
        <x:v>0</x:v>
      </x:c>
      <x:c r="L77" s="18" t="str">
        <x:v>二进制幂递推、每步模乘及b=0/a=0边界正确，p&lt;2^31使模后余数乘积&lt;2^62，可用64位。math.binary-exponentiation为实际核心，精确输出格式也写出。独立参考1000组完整32位输入与Python精确模幂一致，原输出2^10 mod 9=7。证据中“唯一可行”是对快速幂族的过度措辞，但不改变算法、可行性、执行结果，按任务要求不因此否决。</x:v>
      </x:c>
      <x:c r="M77" s="18" t="str">
        <x:v>data/evaluation/v8-second-test/review-packets/first.json#/items/18</x:v>
      </x:c>
    </x:row>
    <x:row r="78" ht="80" customHeight="1">
      <x:c r="A78" s="2" t="str">
        <x:v>B19</x:v>
      </x:c>
      <x:c r="B78" s="2" t="str">
        <x:v>快速幂取模</x:v>
      </x:c>
      <x:c r="C78" s="2" t="str">
        <x:v>新增11题</x:v>
      </x:c>
      <x:c r="D78" s="2" t="str">
        <x:v>二测第1次</x:v>
      </x:c>
      <x:c r="E78" s="10" t="n">
        <x:v>1100</x:v>
      </x:c>
      <x:c r="F78" s="10" t="n">
        <x:v>1100</x:v>
      </x:c>
      <x:c r="G78" s="16" t="b">
        <x:v>1</x:v>
      </x:c>
      <x:c r="H78" s="16" t="b">
        <x:v>0</x:v>
      </x:c>
      <x:c r="I78" s="17" t="b">
        <x:f>AND(G78,H78)</x:f>
        <x:v>0</x:v>
      </x:c>
      <x:c r="J78" s="10" t="n">
        <x:f>F78-E78</x:f>
        <x:v>0</x:v>
      </x:c>
      <x:c r="K78" s="10" t="n">
        <x:f>ABS(J78)</x:f>
        <x:v>0</x:v>
      </x:c>
      <x:c r="L78" s="18" t="str">
        <x:v>具体迭代方法base=a%p、res=1%p、奇位乘res、平方base、右移指数完整正确，边界与64位模乘也正确，binary-exponentiation标签准确；但开头明确写a^b=(a^floor(b/2))²，未限制偶数b。合法a=2,b=3,p=9时左边8、该等式右边4，构成确定性数学矛盾。按冻结“题解技术完整、无确定性矛盾”的严格文本口径solution=false；这不等同其后具体迭代程序必然WA。</x:v>
      </x:c>
      <x:c r="M78" s="18" t="str">
        <x:v>data/evaluation/v8-second-test/review-packets/second_1.json#/items/18</x:v>
      </x:c>
    </x:row>
    <x:row r="79" ht="64" customHeight="1">
      <x:c r="A79" s="2" t="str">
        <x:v>B19</x:v>
      </x:c>
      <x:c r="B79" s="2" t="str">
        <x:v>快速幂取模</x:v>
      </x:c>
      <x:c r="C79" s="2" t="str">
        <x:v>新增11题</x:v>
      </x:c>
      <x:c r="D79" s="2" t="str">
        <x:v>二测第2次</x:v>
      </x:c>
      <x:c r="E79" s="10" t="n">
        <x:v>1100</x:v>
      </x:c>
      <x:c r="F79" s="10" t="n">
        <x:v>1100</x:v>
      </x:c>
      <x:c r="G79" s="16" t="b">
        <x:v>1</x:v>
      </x:c>
      <x:c r="H79" s="16" t="b">
        <x:v>1</x:v>
      </x:c>
      <x:c r="I79" s="17" t="b">
        <x:f>AND(G79,H79)</x:f>
        <x:v>1</x:v>
      </x:c>
      <x:c r="J79" s="10" t="n">
        <x:f>F79-E79</x:f>
        <x:v>0</x:v>
      </x:c>
      <x:c r="K79" s="10" t="n">
        <x:f>ABS(J79)</x:f>
        <x:v>0</x:v>
      </x:c>
      <x:c r="L79" s="18" t="str">
        <x:v>逐指数二进制位平方、奇位累乘并取模，边界b0=&gt;1、a0且b&gt;0=&gt;0正确；说明需足够宽乘法并输出原始a/b/p，未出现R1错误幂等式。binary-exponentiation标签准确，O(log b)/O(1)可行；独立参考1000组与精确模幂一致，样例2^10 mod 9=7。</x:v>
      </x:c>
      <x:c r="M79" s="18" t="str">
        <x:v>data/evaluation/v8-second-test/review-packets/second_2.json#/items/18</x:v>
      </x:c>
    </x:row>
    <x:row r="80" ht="64" customHeight="1">
      <x:c r="A80" s="2" t="str">
        <x:v>B19</x:v>
      </x:c>
      <x:c r="B80" s="2" t="str">
        <x:v>快速幂取模</x:v>
      </x:c>
      <x:c r="C80" s="2" t="str">
        <x:v>新增11题</x:v>
      </x:c>
      <x:c r="D80" s="2" t="str">
        <x:v>二测第3次</x:v>
      </x:c>
      <x:c r="E80" s="10" t="n">
        <x:v>1100</x:v>
      </x:c>
      <x:c r="F80" s="10" t="n">
        <x:v>1100</x:v>
      </x:c>
      <x:c r="G80" s="16" t="b">
        <x:v>1</x:v>
      </x:c>
      <x:c r="H80" s="16" t="b">
        <x:v>1</x:v>
      </x:c>
      <x:c r="I80" s="17" t="b">
        <x:f>AND(G80,H80)</x:f>
        <x:v>1</x:v>
      </x:c>
      <x:c r="J80" s="10" t="n">
        <x:f>F80-E80</x:f>
        <x:v>0</x:v>
      </x:c>
      <x:c r="K80" s="10" t="n">
        <x:f>ABS(J80)</x:f>
        <x:v>0</x:v>
      </x:c>
      <x:c r="L80" s="18" t="str">
        <x:v>base=a%p、ans=1%p，奇位累乘、base平方、指数右移完整，解释每轮a^(2^k)与二进制分解正确，没有R1错误恒等式。a0/b0、64位乘积&lt;2^62及精确输出格式均覆盖，binary-exponentiation准确。原参考1000组完整31位范围输入对精确modpow一致，复杂度O(log b)/O(1)。</x:v>
      </x:c>
      <x:c r="M80" s="18" t="str">
        <x:v>data/evaluation/v8-second-test/review-packets/second_3.json#/items/18</x:v>
      </x:c>
    </x:row>
    <x:row r="81" ht="64" customHeight="1">
      <x:c r="A81" s="2" t="str">
        <x:v>B20</x:v>
      </x:c>
      <x:c r="B81" s="2" t="str">
        <x:v>第 k 个素数查询</x:v>
      </x:c>
      <x:c r="C81" s="2" t="str">
        <x:v>回归9题</x:v>
      </x:c>
      <x:c r="D81" s="2" t="str">
        <x:v>首测</x:v>
      </x:c>
      <x:c r="E81" s="10" t="n">
        <x:v>1300</x:v>
      </x:c>
      <x:c r="F81" s="10" t="n">
        <x:v>1100</x:v>
      </x:c>
      <x:c r="G81" s="16" t="b">
        <x:v>1</x:v>
      </x:c>
      <x:c r="H81" s="16" t="b">
        <x:v>1</x:v>
      </x:c>
      <x:c r="I81" s="17" t="b">
        <x:f>AND(G81,H81)</x:f>
        <x:v>1</x:v>
      </x:c>
      <x:c r="J81" s="10" t="n">
        <x:f>F81-E81</x:f>
        <x:v>-200</x:v>
      </x:c>
      <x:c r="K81" s="10" t="n">
        <x:f>ABS(J81)</x:f>
        <x:v>200</x:v>
      </x:c>
      <x:c r="L81" s="18" t="str">
        <x:v>埃氏筛一次标记合数、按升序收集素数，primes[k-1]查询；sieve/prime覆盖实际方法，O(n log log n+q)与O(n+pi(n))可行。其提及n&lt;2只是题外冗余边界，不影响冻结n=10^8算法。独立参考实际筛满10^8，计5761455个素数、最后99999989，前1/2/5个为2/3/11；有限实测不冒充模型代码运行。</x:v>
      </x:c>
      <x:c r="M81" s="18" t="str">
        <x:v>data/evaluation/v8-second-test/review-packets/first.json#/items/19</x:v>
      </x:c>
    </x:row>
    <x:row r="82" ht="64" customHeight="1">
      <x:c r="A82" s="2" t="str">
        <x:v>B20</x:v>
      </x:c>
      <x:c r="B82" s="2" t="str">
        <x:v>第 k 个素数查询</x:v>
      </x:c>
      <x:c r="C82" s="2" t="str">
        <x:v>回归9题</x:v>
      </x:c>
      <x:c r="D82" s="2" t="str">
        <x:v>二测第1次</x:v>
      </x:c>
      <x:c r="E82" s="10" t="n">
        <x:v>1300</x:v>
      </x:c>
      <x:c r="F82" s="10" t="n">
        <x:v>1200</x:v>
      </x:c>
      <x:c r="G82" s="16" t="b">
        <x:v>1</x:v>
      </x:c>
      <x:c r="H82" s="16" t="b">
        <x:v>1</x:v>
      </x:c>
      <x:c r="I82" s="17" t="b">
        <x:f>AND(G82,H82)</x:f>
        <x:v>1</x:v>
      </x:c>
      <x:c r="J82" s="10" t="n">
        <x:f>F82-E82</x:f>
        <x:v>-100</x:v>
      </x:c>
      <x:c r="K82" s="10" t="n">
        <x:f>ABS(J82)</x:f>
        <x:v>100</x:v>
      </x:c>
      <x:c r="L82" s="18" t="str">
        <x:v>埃氏筛按升序发现素数并标记其合数倍数，primes[k-1]直接查；筛法/素数标签对应实际知识。明确n=10^8需紧凑标记与批量输出，O(n log log n+q)及紧凑O(n)空间可行。本轮“所有i的倍数”按标准埃氏筛中不含i本身的倍数解释，已加入素数表的i仍保持素数身份，不因概述未写2i/p²起点否决。原参考实筛n=10^8得到5761455及末素数99999989。</x:v>
      </x:c>
      <x:c r="M82" s="18" t="str">
        <x:v>data/evaluation/v8-second-test/review-packets/second_1.json#/items/19</x:v>
      </x:c>
    </x:row>
    <x:row r="83" ht="64" customHeight="1">
      <x:c r="A83" s="2" t="str">
        <x:v>B20</x:v>
      </x:c>
      <x:c r="B83" s="2" t="str">
        <x:v>第 k 个素数查询</x:v>
      </x:c>
      <x:c r="C83" s="2" t="str">
        <x:v>回归9题</x:v>
      </x:c>
      <x:c r="D83" s="2" t="str">
        <x:v>二测第2次</x:v>
      </x:c>
      <x:c r="E83" s="10" t="n">
        <x:v>1300</x:v>
      </x:c>
      <x:c r="F83" s="10" t="n">
        <x:v>1100</x:v>
      </x:c>
      <x:c r="G83" s="16" t="b">
        <x:v>1</x:v>
      </x:c>
      <x:c r="H83" s="16" t="b">
        <x:v>1</x:v>
      </x:c>
      <x:c r="I83" s="17" t="b">
        <x:f>AND(G83,H83)</x:f>
        <x:v>1</x:v>
      </x:c>
      <x:c r="J83" s="10" t="n">
        <x:f>F83-E83</x:f>
        <x:v>-200</x:v>
      </x:c>
      <x:c r="K83" s="10" t="n">
        <x:f>ABS(J83)</x:f>
        <x:v>200</x:v>
      </x:c>
      <x:c r="L83" s="18" t="str">
        <x:v>筛出全部&lt;=n素数再按primes[k-1]查，明确容量应覆盖pi(n)而非q，1-based及从2起正确；列埃氏和Euler两种标准筛法，复杂度分别O(n log log n+q)、O(n+q)，标签sieve/prime覆盖筛法族。冻结题面无额外时空限制，未凭空要求特定版本。原参考实筛n=10^8得到pi=5761455、末素数99999989、样例2/3/11。</x:v>
      </x:c>
      <x:c r="M83" s="18" t="str">
        <x:v>data/evaluation/v8-second-test/review-packets/second_2.json#/items/19</x:v>
      </x:c>
    </x:row>
    <x:row r="84" ht="64" customHeight="1">
      <x:c r="A84" s="2" t="str">
        <x:v>B20</x:v>
      </x:c>
      <x:c r="B84" s="2" t="str">
        <x:v>第 k 个素数查询</x:v>
      </x:c>
      <x:c r="C84" s="2" t="str">
        <x:v>回归9题</x:v>
      </x:c>
      <x:c r="D84" s="2" t="str">
        <x:v>二测第3次</x:v>
      </x:c>
      <x:c r="E84" s="10" t="n">
        <x:v>1300</x:v>
      </x:c>
      <x:c r="F84" s="10" t="n">
        <x:v>1200</x:v>
      </x:c>
      <x:c r="G84" s="16" t="b">
        <x:v>1</x:v>
      </x:c>
      <x:c r="H84" s="16" t="b">
        <x:v>1</x:v>
      </x:c>
      <x:c r="I84" s="17" t="b">
        <x:f>AND(G84,H84)</x:f>
        <x:v>1</x:v>
      </x:c>
      <x:c r="J84" s="10" t="n">
        <x:f>F84-E84</x:f>
        <x:v>-100</x:v>
      </x:c>
      <x:c r="K84" s="10" t="n">
        <x:f>ABS(J84)</x:f>
        <x:v>100</x:v>
      </x:c>
      <x:c r="L84" s="18" t="str">
        <x:v>只筛一次、排除1、升序收素数、primes[k-1]查询正确，位集/奇数压缩仅改变常数；sieve/prime覆盖实际算法。复杂度埃氏O(n log log n+q)，Euler可O(n+q)均为标准筛法。原参考实筛到10^8，表长5761455、末值99999989、样例2/3/11验证了容量与索引边界；文本说“题目保证编号及数值不超过n”可由保证查询素数存在推出，不构成新假设。</x:v>
      </x:c>
      <x:c r="M84" s="18" t="str">
        <x:v>data/evaluation/v8-second-test/review-packets/second_3.json#/items/19</x:v>
      </x:c>
    </x:row>
  </x:sheetData>
  <x:conditionalFormatting sqref="I5:I84">
    <x:cfRule type="expression" dxfId="1" priority="1">
      <x:formula>I5=FALSE</x:formula>
    </x:cfRule>
  </x:conditionalFormatting>
  <x:pageMargins left="0.7" right="0.7" top="0.75" bottom="0.75" header="0.3" footer="0.3"/>
</x:worksheet>
</file>